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6eab5294ad4f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8f5c83528b04f74"/>
    <x:sheet xmlns:r="http://schemas.openxmlformats.org/officeDocument/2006/relationships" name="WBS" sheetId="2" r:id="Rc960962de6eb4a6a"/>
    <x:sheet xmlns:r="http://schemas.openxmlformats.org/officeDocument/2006/relationships" name="Codex Issues" sheetId="3" r:id="Rd4ebff2191dd4bda"/>
    <x:sheet xmlns:r="http://schemas.openxmlformats.org/officeDocument/2006/relationships" name="Milestones" sheetId="4" r:id="Ra2f699b9143c419c"/>
    <x:sheet xmlns:r="http://schemas.openxmlformats.org/officeDocument/2006/relationships" name="Master" sheetId="5" r:id="R71bcd3054f914f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8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8"/>
      <x:color rgb="FFFFFFFF"/>
      <x:name val="Carlito"/>
    </x:font>
    <x:font>
      <x:b/>
      <x:sz val="12"/>
      <x:color rgb="FF17324D"/>
      <x:name val="Carlito"/>
    </x:font>
    <x:font>
      <x:b/>
      <x:sz val="11"/>
      <x:color rgb="FF1F2933"/>
      <x:name val="Carlito"/>
    </x:font>
    <x:font>
      <x:b/>
      <x:sz val="14"/>
      <x:color rgb="FF17324D"/>
      <x:name val="Carlito"/>
    </x:font>
    <x:font>
      <x:b/>
      <x:sz val="11"/>
      <x:color rgb="FF17324D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45B8A"/>
      </x:patternFill>
    </x:fill>
    <x:fill>
      <x:patternFill patternType="solid">
        <x:fgColor rgb="FF2B7A78"/>
      </x:patternFill>
    </x:fill>
    <x:fill>
      <x:patternFill patternType="solid">
        <x:fgColor rgb="FFEAF2F8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8F4F3"/>
      </x:patternFill>
    </x:fill>
  </x:fills>
  <x:borders count="2">
    <x:border/>
    <x:border/>
  </x:borders>
  <x:cellStyleXfs count="1">
    <x:xf numFmtId="0" fontId="0" fillId="0" borderId="0"/>
  </x:cellStyleXfs>
  <x:cellXfs count="8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0" fillId="7" borderId="0" xfId="0" applyNumberFormat="1" applyFont="1" applyFill="1" applyBorder="1"/>
    <x:xf numFmtId="200" fontId="0" fillId="7" borderId="0" xfId="0" applyNumberFormat="1" applyFont="1" applyFill="1" applyBorder="1"/>
    <x:xf numFmtId="0" fontId="6" fillId="7" borderId="0" xfId="0" applyNumberFormat="1" applyFont="1" applyFill="1" applyBorder="1"/>
    <x:xf numFmtId="20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200" fontId="6" fillId="7" borderId="0" xfId="0" applyNumberFormat="1" applyFont="1" applyFill="1" applyBorder="1" applyAlignment="1">
      <x:alignment horizontal="center"/>
    </x:xf>
    <x:xf numFmtId="0" fontId="0" fillId="7" borderId="1" xfId="0" applyNumberFormat="1" applyFont="1" applyFill="1" applyBorder="1"/>
    <x:xf numFmtId="200" fontId="0" fillId="7" borderId="1" xfId="0" applyNumberFormat="1" applyFont="1" applyFill="1" applyBorder="1"/>
    <x:xf numFmtId="0" fontId="6" fillId="7" borderId="1" xfId="0" applyNumberFormat="1" applyFont="1" applyFill="1" applyBorder="1"/>
    <x:xf numFmtId="20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200" fontId="6" fillId="7" borderId="1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/>
    </x:xf>
    <x:xf numFmtId="0" fontId="1" fillId="3" borderId="1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0" fillId="8" borderId="1" xfId="0" applyNumberFormat="1" applyFont="1" applyFill="1" applyBorder="1"/>
    <x:xf numFmtId="0" fontId="7" fillId="8" borderId="1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1" fillId="4" borderId="1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5" fillId="6" borderId="0" xfId="0" applyNumberFormat="1" applyFont="1" applyFill="1" applyBorder="1" applyAlignment="1">
      <x:alignment vertical="top"/>
    </x:xf>
    <x:xf numFmtId="0" fontId="6" fillId="7" borderId="0" xfId="0" applyNumberFormat="1" applyFont="1" applyFill="1" applyBorder="1" applyAlignment="1">
      <x:alignment horizontal="center" vertical="top"/>
    </x:xf>
    <x:xf numFmtId="200" fontId="6" fillId="7" borderId="0" xfId="0" applyNumberFormat="1" applyFont="1" applyFill="1" applyBorder="1" applyAlignment="1">
      <x:alignment horizontal="center" vertical="top"/>
    </x:xf>
    <x:xf numFmtId="0" fontId="1" fillId="4" borderId="0" xfId="0" applyNumberFormat="1" applyFont="1" applyFill="1" applyBorder="1" applyAlignment="1">
      <x:alignment horizontal="center" vertical="top"/>
    </x:xf>
    <x:xf numFmtId="0" fontId="1" fillId="3" borderId="0" xfId="0" applyNumberFormat="1" applyFont="1" applyFill="1" applyBorder="1" applyAlignment="1">
      <x:alignment horizontal="center" vertical="top"/>
    </x:xf>
    <x:xf numFmtId="200" fontId="0" fillId="0" borderId="0" xfId="0" applyNumberFormat="1" applyFont="1" applyFill="1" applyBorder="1" applyAlignment="1">
      <x:alignment vertical="top"/>
    </x:xf>
    <x:xf numFmtId="0" fontId="7" fillId="8" borderId="0" xfId="0" applyNumberFormat="1" applyFont="1" applyFill="1" applyBorder="1" applyAlignment="1">
      <x:alignment vertical="top"/>
    </x:xf>
    <x:xf numFmtId="0" fontId="5" fillId="6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1">
    <x:dxf>
      <x:fill>
        <x:patternFill patternType="solid">
          <x:bgColor rgb="FFDDF4E7"/>
        </x:patternFill>
      </x:fill>
    </x:dxf>
    <x:dxf>
      <x:fill>
        <x:patternFill patternType="solid">
          <x:bgColor rgb="FFFFF4CC"/>
        </x:patternFill>
      </x:fill>
    </x:dxf>
    <x:dxf>
      <x:fill>
        <x:patternFill patternType="solid">
          <x:bgColor rgb="FFFDE2E2"/>
        </x:patternFill>
      </x:fill>
    </x:dxf>
    <x:dxf>
      <x:font>
        <x:b/>
      </x:font>
      <x:fill>
        <x:patternFill patternType="solid">
          <x:bgColor rgb="FFFDE2E2"/>
        </x:patternFill>
      </x:fill>
    </x:dxf>
    <x:dxf>
      <x:fill>
        <x:patternFill patternType="solid">
          <x:bgColor rgb="FFFFF4CC"/>
        </x:patternFill>
      </x:fill>
    </x:dxf>
    <x:dxf>
      <x:fill>
        <x:patternFill patternType="solid">
          <x:bgColor rgb="FFDDF4E7"/>
        </x:patternFill>
      </x:fill>
    </x:dxf>
    <x:dxf>
      <x:fill>
        <x:patternFill patternType="solid">
          <x:bgColor rgb="FFFFF4CC"/>
        </x:patternFill>
      </x:fill>
    </x:dxf>
    <x:dxf>
      <x:fill>
        <x:patternFill patternType="solid">
          <x:bgColor rgb="FFFDE2E2"/>
        </x:patternFill>
      </x:fill>
    </x:dxf>
    <x:dxf>
      <x:fill>
        <x:patternFill patternType="solid">
          <x:bgColor rgb="FFDDF4E7"/>
        </x:patternFill>
      </x:fill>
    </x:dxf>
    <x:dxf>
      <x:fill>
        <x:patternFill patternType="solid">
          <x:bgColor rgb="FFFFF4CC"/>
        </x:patternFill>
      </x:fill>
    </x:dxf>
    <x:dxf>
      <x:fill>
        <x:patternFill patternType="solid"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52da7f04004c30" /><Relationship Type="http://schemas.openxmlformats.org/officeDocument/2006/relationships/theme" Target="/xl/theme/theme1.xml" Id="R986037795fa141d5" /><Relationship Type="http://schemas.openxmlformats.org/officeDocument/2006/relationships/sharedStrings" Target="/xl/sharedStrings.xml" Id="Rc1cf93216cdc4792" /><Relationship Type="http://schemas.openxmlformats.org/officeDocument/2006/relationships/worksheet" Target="/xl/worksheets/sheet1.xml" Id="Rd8f5c83528b04f74" /><Relationship Type="http://schemas.openxmlformats.org/officeDocument/2006/relationships/worksheet" Target="/xl/worksheets/sheet2.xml" Id="Rc960962de6eb4a6a" /><Relationship Type="http://schemas.openxmlformats.org/officeDocument/2006/relationships/worksheet" Target="/xl/worksheets/sheet3.xml" Id="Rd4ebff2191dd4bda" /><Relationship Type="http://schemas.openxmlformats.org/officeDocument/2006/relationships/worksheet" Target="/xl/worksheets/sheet4.xml" Id="Ra2f699b9143c419c" /><Relationship Type="http://schemas.openxmlformats.org/officeDocument/2006/relationships/worksheet" Target="/xl/worksheets/sheet5.xml" Id="R71bcd3054f914f5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50eb205aa30483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Completion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Tasks</c:v>
          </c:tx>
          <c:cat>
            <c:strRef>
              <c:f>'Summary'!$A$12:$A$24</c:f>
              <c:strCache>
                <c:ptCount val="0"/>
              </c:strCache>
            </c:strRef>
          </c:cat>
          <c:val>
            <c:numRef>
              <c:f>'Summary'!$B$12:$B$24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cat>
            <c:strRef>
              <c:f>'Summary'!$A$12:$A$24</c:f>
              <c:strCache>
                <c:ptCount val="0"/>
              </c:strCache>
            </c:strRef>
          </c:cat>
          <c:val>
            <c:numRef>
              <c:f>'Summary'!$C$12:$C$24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Completion</c:v>
          </c:tx>
          <c:cat>
            <c:strRef>
              <c:f>'Summary'!$A$12:$A$24</c:f>
              <c:strCache>
                <c:ptCount val="0"/>
              </c:strCache>
            </c:strRef>
          </c:cat>
          <c:val>
            <c:numRef>
              <c:f>'Summary'!$D$12:$D$24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24</xdr:row>
      <xdr:rowOff>0</xdr:rowOff>
    </xdr:from>
    <xdr:to>
      <xdr:col>13</xdr:col>
      <xdr:colOff>0</xdr:colOff>
      <xdr:row>43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0eb205aa30483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WbsTable" displayName="WbsTable" ref="A3:M79" headerRowCount="1" totalsRowCount="0" totalsRowShown="0">
  <x:tableColumns count="13">
    <x:tableColumn id="1" name="WBS ID"/>
    <x:tableColumn id="2" name="Phase"/>
    <x:tableColumn id="3" name="Task"/>
    <x:tableColumn id="4" name="概要"/>
    <x:tableColumn id="5" name="Owner"/>
    <x:tableColumn id="6" name="Priority"/>
    <x:tableColumn id="7" name="Depends On"/>
    <x:tableColumn id="8" name="Deliverable"/>
    <x:tableColumn id="9" name="Acceptance Criteria"/>
    <x:tableColumn id="10" name="予定開始"/>
    <x:tableColumn id="11" name="予定完了"/>
    <x:tableColumn id="12" name="Status"/>
    <x:tableColumn id="13" name="Progr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ssuesTable" displayName="IssuesTable" ref="A3:J32" headerRowCount="1" totalsRowCount="0" totalsRowShown="0">
  <x:tableColumns count="10">
    <x:tableColumn id="1" name="Issue ID"/>
    <x:tableColumn id="2" name="Issue"/>
    <x:tableColumn id="3" name="実装目的 / Scope"/>
    <x:tableColumn id="4" name="Phase"/>
    <x:tableColumn id="5" name="Priority"/>
    <x:tableColumn id="6" name="Depends On"/>
    <x:tableColumn id="7" name="Owner"/>
    <x:tableColumn id="8" name="Acceptance Criteria"/>
    <x:tableColumn id="9" name="Status"/>
    <x:tableColumn id="10" name="Progres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ilestonesTable" displayName="MilestonesTable" ref="A3:G11" headerRowCount="1" totalsRowCount="0" totalsRowShown="0">
  <x:tableColumns count="7">
    <x:tableColumn id="1" name="ID"/>
    <x:tableColumn id="2" name="Milestone"/>
    <x:tableColumn id="3" name="Definition"/>
    <x:tableColumn id="4" name="Related Phase"/>
    <x:tableColumn id="5" name="Exit Criteria"/>
    <x:tableColumn id="6" name="Status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b452c64426e4b4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56173529584ee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7382fd0ebff4a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6194cb7a4964607" /></Relationships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36" t="str">
        <x:v>OffSec Lab v0.1 — Project Dashboard</x:v>
      </x:c>
    </x:row>
    <x:row r="3">
      <x:c r="A3" s="76" t="str">
        <x:v>KPI</x:v>
      </x:c>
      <x:c r="B3" s="77"/>
      <x:c r="C3" s="77"/>
      <x:c r="D3" s="77"/>
      <x:c r="E3" s="77"/>
      <x:c r="F3" s="77"/>
      <x:c r="G3" s="77"/>
      <x:c r="H3" s="77"/>
    </x:row>
    <x:row r="4">
      <x:c r="A4" s="78" t="str">
        <x:v>Total WBS Tasks</x:v>
      </x:c>
      <x:c r="B4" s="79" t="n">
        <x:f>COUNTA(WBS!A4:A79)</x:f>
        <x:v>76</x:v>
      </x:c>
      <x:c r="C4" s="77"/>
      <x:c r="D4" s="78" t="str">
        <x:v>Total Codex Issues</x:v>
      </x:c>
      <x:c r="E4" s="79" t="n">
        <x:f>COUNTA('Codex Issues'!A4:A32)</x:f>
        <x:v>29</x:v>
      </x:c>
      <x:c r="F4" s="77"/>
      <x:c r="G4" s="77"/>
      <x:c r="H4" s="77"/>
    </x:row>
    <x:row r="5">
      <x:c r="A5" s="78" t="str">
        <x:v>Done</x:v>
      </x:c>
      <x:c r="B5" s="79" t="n">
        <x:f>COUNTIF(WBS!L4:L79,"Done")</x:f>
        <x:v>0</x:v>
      </x:c>
      <x:c r="C5" s="77"/>
      <x:c r="D5" s="78" t="str">
        <x:v>Issue Done</x:v>
      </x:c>
      <x:c r="E5" s="79" t="n">
        <x:f>COUNTIF('Codex Issues'!I4:I32,"Done")</x:f>
        <x:v>0</x:v>
      </x:c>
      <x:c r="F5" s="77"/>
      <x:c r="G5" s="77"/>
      <x:c r="H5" s="77"/>
    </x:row>
    <x:row r="6">
      <x:c r="A6" s="78" t="str">
        <x:v>In Progress</x:v>
      </x:c>
      <x:c r="B6" s="79" t="n">
        <x:f>COUNTIF(WBS!L4:L79,"In Progress")</x:f>
        <x:v>0</x:v>
      </x:c>
      <x:c r="C6" s="77"/>
      <x:c r="D6" s="78" t="str">
        <x:v>P0 Issues</x:v>
      </x:c>
      <x:c r="E6" s="79" t="n">
        <x:f>COUNTIF('Codex Issues'!E4:E32,"P0")</x:f>
        <x:v>26</x:v>
      </x:c>
      <x:c r="F6" s="77"/>
      <x:c r="G6" s="77"/>
      <x:c r="H6" s="77"/>
    </x:row>
    <x:row r="7">
      <x:c r="A7" s="78" t="str">
        <x:v>Blocked</x:v>
      </x:c>
      <x:c r="B7" s="79" t="n">
        <x:f>COUNTIF(WBS!L4:L79,"Blocked")</x:f>
        <x:v>0</x:v>
      </x:c>
      <x:c r="C7" s="77"/>
      <x:c r="D7" s="78" t="str">
        <x:v>Milestones</x:v>
      </x:c>
      <x:c r="E7" s="79" t="n">
        <x:f>COUNTA(Milestones!A4:A11)</x:f>
        <x:v>8</x:v>
      </x:c>
      <x:c r="F7" s="77"/>
      <x:c r="G7" s="77"/>
      <x:c r="H7" s="77"/>
    </x:row>
    <x:row r="8">
      <x:c r="A8" s="78" t="str">
        <x:v>Overall Progress</x:v>
      </x:c>
      <x:c r="B8" s="80" t="n">
        <x:f>AVERAGE(WBS!M4:M79)</x:f>
        <x:v>0</x:v>
      </x:c>
      <x:c r="C8" s="77"/>
      <x:c r="D8" s="78" t="str">
        <x:v>Milestone Done</x:v>
      </x:c>
      <x:c r="E8" s="79" t="n">
        <x:f>COUNTIF(Milestones!F4:F11,"Done")</x:f>
        <x:v>0</x:v>
      </x:c>
      <x:c r="F8" s="77"/>
      <x:c r="G8" s="77"/>
      <x:c r="H8" s="77"/>
    </x:row>
    <x:row r="9">
      <x:c r="A9" s="77"/>
      <x:c r="B9" s="77"/>
      <x:c r="C9" s="77"/>
      <x:c r="D9" s="77"/>
      <x:c r="E9" s="77"/>
      <x:c r="F9" s="77"/>
      <x:c r="G9" s="77"/>
      <x:c r="H9" s="77"/>
    </x:row>
    <x:row r="10">
      <x:c r="A10" s="77"/>
      <x:c r="B10" s="77"/>
      <x:c r="C10" s="77"/>
      <x:c r="D10" s="77"/>
      <x:c r="E10" s="77"/>
      <x:c r="F10" s="77"/>
      <x:c r="G10" s="77"/>
      <x:c r="H10" s="77"/>
    </x:row>
    <x:row r="11">
      <x:c r="A11" s="81" t="str">
        <x:v>Phase</x:v>
      </x:c>
      <x:c r="B11" s="81" t="str">
        <x:v>Tasks</x:v>
      </x:c>
      <x:c r="C11" s="81" t="str">
        <x:v>Done</x:v>
      </x:c>
      <x:c r="D11" s="81" t="str">
        <x:v>Completion</x:v>
      </x:c>
      <x:c r="E11" s="77"/>
      <x:c r="F11" s="82" t="str">
        <x:v>Priority</x:v>
      </x:c>
      <x:c r="G11" s="82" t="str">
        <x:v>WBS Tasks</x:v>
      </x:c>
      <x:c r="H11" s="82" t="str">
        <x:v>Codex Issues</x:v>
      </x:c>
    </x:row>
    <x:row r="12">
      <x:c r="A12" s="77" t="str">
        <x:v>Phase 0: Project Foundation</x:v>
      </x:c>
      <x:c r="B12" s="77" t="n">
        <x:f>COUNTIF(WBS!B4:B79,A12)</x:f>
        <x:v>4</x:v>
      </x:c>
      <x:c r="C12" s="77" t="n">
        <x:f>COUNTIFS(WBS!B4:B79,A12,WBS!L4:L79,"Done")</x:f>
        <x:v>0</x:v>
      </x:c>
      <x:c r="D12" s="83" t="n">
        <x:f>IF(B12=0,0,C12/B12)</x:f>
        <x:v>0</x:v>
      </x:c>
      <x:c r="E12" s="77"/>
      <x:c r="F12" s="77" t="str">
        <x:v>P0</x:v>
      </x:c>
      <x:c r="G12" s="77" t="n">
        <x:f>COUNTIF(WBS!F4:F79,F12)</x:f>
        <x:v>58</x:v>
      </x:c>
      <x:c r="H12" s="77" t="n">
        <x:f>COUNTIF('Codex Issues'!E4:E32,F12)</x:f>
        <x:v>26</x:v>
      </x:c>
    </x:row>
    <x:row r="13">
      <x:c r="A13" s="77" t="str">
        <x:v>Phase 1: Basic Design</x:v>
      </x:c>
      <x:c r="B13" s="77" t="n">
        <x:f>COUNTIF(WBS!B4:B79,A13)</x:f>
        <x:v>6</x:v>
      </x:c>
      <x:c r="C13" s="77" t="n">
        <x:f>COUNTIFS(WBS!B4:B79,A13,WBS!L4:L79,"Done")</x:f>
        <x:v>0</x:v>
      </x:c>
      <x:c r="D13" s="83" t="n">
        <x:f>IF(B13=0,0,C13/B13)</x:f>
        <x:v>0</x:v>
      </x:c>
      <x:c r="E13" s="77"/>
      <x:c r="F13" s="77" t="str">
        <x:v>P1</x:v>
      </x:c>
      <x:c r="G13" s="77" t="n">
        <x:f>COUNTIF(WBS!F4:F79,F13)</x:f>
        <x:v>18</x:v>
      </x:c>
      <x:c r="H13" s="77" t="n">
        <x:f>COUNTIF('Codex Issues'!E4:E32,F13)</x:f>
        <x:v>3</x:v>
      </x:c>
    </x:row>
    <x:row r="14">
      <x:c r="A14" s="77" t="str">
        <x:v>Phase 2: Development Environment</x:v>
      </x:c>
      <x:c r="B14" s="77" t="n">
        <x:f>COUNTIF(WBS!B4:B79,A14)</x:f>
        <x:v>5</x:v>
      </x:c>
      <x:c r="C14" s="77" t="n">
        <x:f>COUNTIFS(WBS!B4:B79,A14,WBS!L4:L79,"Done")</x:f>
        <x:v>0</x:v>
      </x:c>
      <x:c r="D14" s="83" t="n">
        <x:f>IF(B14=0,0,C14/B14)</x:f>
        <x:v>0</x:v>
      </x:c>
      <x:c r="E14" s="77"/>
      <x:c r="F14" s="77" t="str">
        <x:v>P2</x:v>
      </x:c>
      <x:c r="G14" s="77" t="n">
        <x:f>COUNTIF(WBS!F4:F79,F14)</x:f>
        <x:v>0</x:v>
      </x:c>
      <x:c r="H14" s="77" t="n">
        <x:f>COUNTIF('Codex Issues'!E4:E32,F14)</x:f>
        <x:v>0</x:v>
      </x:c>
    </x:row>
    <x:row r="15">
      <x:c r="A15" s="77" t="str">
        <x:v>Phase 3: Backend / Database</x:v>
      </x:c>
      <x:c r="B15" s="77" t="n">
        <x:f>COUNTIF(WBS!B4:B79,A15)</x:f>
        <x:v>6</x:v>
      </x:c>
      <x:c r="C15" s="77" t="n">
        <x:f>COUNTIFS(WBS!B4:B79,A15,WBS!L4:L79,"Done")</x:f>
        <x:v>0</x:v>
      </x:c>
      <x:c r="D15" s="83" t="n">
        <x:f>IF(B15=0,0,C15/B15)</x:f>
        <x:v>0</x:v>
      </x:c>
      <x:c r="E15" s="77"/>
      <x:c r="F15" s="77"/>
      <x:c r="G15" s="77"/>
      <x:c r="H15" s="77"/>
    </x:row>
    <x:row r="16">
      <x:c r="A16" s="77" t="str">
        <x:v>Phase 4: Backend API</x:v>
      </x:c>
      <x:c r="B16" s="77" t="n">
        <x:f>COUNTIF(WBS!B4:B79,A16)</x:f>
        <x:v>5</x:v>
      </x:c>
      <x:c r="C16" s="77" t="n">
        <x:f>COUNTIFS(WBS!B4:B79,A16,WBS!L4:L79,"Done")</x:f>
        <x:v>0</x:v>
      </x:c>
      <x:c r="D16" s="83" t="n">
        <x:f>IF(B16=0,0,C16/B16)</x:f>
        <x:v>0</x:v>
      </x:c>
      <x:c r="E16" s="77"/>
      <x:c r="F16" s="77"/>
      <x:c r="G16" s="77"/>
      <x:c r="H16" s="77"/>
    </x:row>
    <x:row r="17">
      <x:c r="A17" s="77" t="str">
        <x:v>Phase 5: Lab Infrastructure</x:v>
      </x:c>
      <x:c r="B17" s="77" t="n">
        <x:f>COUNTIF(WBS!B4:B79,A17)</x:f>
        <x:v>8</x:v>
      </x:c>
      <x:c r="C17" s="77" t="n">
        <x:f>COUNTIFS(WBS!B4:B79,A17,WBS!L4:L79,"Done")</x:f>
        <x:v>0</x:v>
      </x:c>
      <x:c r="D17" s="83" t="n">
        <x:f>IF(B17=0,0,C17/B17)</x:f>
        <x:v>0</x:v>
      </x:c>
      <x:c r="E17" s="77"/>
      <x:c r="F17" s="84" t="str">
        <x:v>MVP v0.1 Scope</x:v>
      </x:c>
      <x:c r="G17" s="77"/>
      <x:c r="H17" s="77"/>
    </x:row>
    <x:row r="18">
      <x:c r="A18" s="77" t="str">
        <x:v>Phase 6: Lab Controller</x:v>
      </x:c>
      <x:c r="B18" s="77" t="n">
        <x:f>COUNTIF(WBS!B4:B79,A18)</x:f>
        <x:v>5</x:v>
      </x:c>
      <x:c r="C18" s="77" t="n">
        <x:f>COUNTIFS(WBS!B4:B79,A18,WBS!L4:L79,"Done")</x:f>
        <x:v>0</x:v>
      </x:c>
      <x:c r="D18" s="83" t="n">
        <x:f>IF(B18=0,0,C18/B18)</x:f>
        <x:v>0</x:v>
      </x:c>
      <x:c r="E18" s="77"/>
      <x:c r="F18" s="85" t="str">
        <x:v>Core Flow</x:v>
      </x:c>
      <x:c r="G18" s="69"/>
      <x:c r="H18" s="69"/>
    </x:row>
    <x:row r="19">
      <x:c r="A19" s="77" t="str">
        <x:v>Phase 7: Frontend</x:v>
      </x:c>
      <x:c r="B19" s="77" t="n">
        <x:f>COUNTIF(WBS!B4:B79,A19)</x:f>
        <x:v>10</x:v>
      </x:c>
      <x:c r="C19" s="77" t="n">
        <x:f>COUNTIFS(WBS!B4:B79,A19,WBS!L4:L79,"Done")</x:f>
        <x:v>0</x:v>
      </x:c>
      <x:c r="D19" s="83" t="n">
        <x:f>IF(B19=0,0,C19/B19)</x:f>
        <x:v>0</x:v>
      </x:c>
      <x:c r="E19" s="77"/>
      <x:c r="F19" s="69" t="str">
        <x:v>Mission選択 → Lab起動 → Nmap → Challenge回答 → Mission Complete</x:v>
      </x:c>
      <x:c r="G19" s="69"/>
      <x:c r="H19" s="69"/>
    </x:row>
    <x:row r="20">
      <x:c r="A20" s="77" t="str">
        <x:v>Phase 8: Mission 01 Content</x:v>
      </x:c>
      <x:c r="B20" s="77" t="n">
        <x:f>COUNTIF(WBS!B4:B79,A20)</x:f>
        <x:v>8</x:v>
      </x:c>
      <x:c r="C20" s="77" t="n">
        <x:f>COUNTIFS(WBS!B4:B79,A20,WBS!L4:L79,"Done")</x:f>
        <x:v>0</x:v>
      </x:c>
      <x:c r="D20" s="83" t="n">
        <x:f>IF(B20=0,0,C20/B20)</x:f>
        <x:v>0</x:v>
      </x:c>
      <x:c r="E20" s="77"/>
      <x:c r="F20" s="85" t="str">
        <x:v>P0 Focus</x:v>
      </x:c>
      <x:c r="G20" s="69"/>
      <x:c r="H20" s="69"/>
    </x:row>
    <x:row r="21">
      <x:c r="A21" s="77" t="str">
        <x:v>Phase 9: Testing</x:v>
      </x:c>
      <x:c r="B21" s="77" t="n">
        <x:f>COUNTIF(WBS!B4:B79,A21)</x:f>
        <x:v>6</x:v>
      </x:c>
      <x:c r="C21" s="77" t="n">
        <x:f>COUNTIFS(WBS!B4:B79,A21,WBS!L4:L79,"Done")</x:f>
        <x:v>0</x:v>
      </x:c>
      <x:c r="D21" s="83" t="n">
        <x:f>IF(B21=0,0,C21/B21)</x:f>
        <x:v>0</x:v>
      </x:c>
      <x:c r="E21" s="77"/>
      <x:c r="F21" s="69" t="str">
        <x:v>Docker隔離 / Lab Controller / Mission Engine / E2E</x:v>
      </x:c>
      <x:c r="G21" s="69"/>
      <x:c r="H21" s="69"/>
    </x:row>
    <x:row r="22">
      <x:c r="A22" s="77" t="str">
        <x:v>Phase 10: Security Assessment</x:v>
      </x:c>
      <x:c r="B22" s="77" t="n">
        <x:f>COUNTIF(WBS!B4:B79,A22)</x:f>
        <x:v>7</x:v>
      </x:c>
      <x:c r="C22" s="77" t="n">
        <x:f>COUNTIFS(WBS!B4:B79,A22,WBS!L4:L79,"Done")</x:f>
        <x:v>0</x:v>
      </x:c>
      <x:c r="D22" s="83" t="n">
        <x:f>IF(B22=0,0,C22/B22)</x:f>
        <x:v>0</x:v>
      </x:c>
      <x:c r="E22" s="77"/>
      <x:c r="F22" s="85" t="str">
        <x:v>Deferred</x:v>
      </x:c>
      <x:c r="G22" s="69"/>
      <x:c r="H22" s="69"/>
    </x:row>
    <x:row r="23">
      <x:c r="A23" s="77" t="str">
        <x:v>Phase 11: Documentation</x:v>
      </x:c>
      <x:c r="B23" s="77" t="n">
        <x:f>COUNTIF(WBS!B4:B79,A23)</x:f>
        <x:v>5</x:v>
      </x:c>
      <x:c r="C23" s="77" t="n">
        <x:f>COUNTIFS(WBS!B4:B79,A23,WBS!L4:L79,"Done")</x:f>
        <x:v>0</x:v>
      </x:c>
      <x:c r="D23" s="83" t="n">
        <x:f>IF(B23=0,0,C23/B23)</x:f>
        <x:v>0</x:v>
      </x:c>
      <x:c r="E23" s="77"/>
      <x:c r="F23" s="69" t="str">
        <x:v>AI Mentor / XP / Browser Terminal / SQLi等はv0.2以降</x:v>
      </x:c>
      <x:c r="G23" s="69"/>
      <x:c r="H23" s="69"/>
    </x:row>
    <x:row r="24">
      <x:c r="A24" s="77" t="str">
        <x:v>Phase 12: MVP Acceptance</x:v>
      </x:c>
      <x:c r="B24" s="77" t="n">
        <x:f>COUNTIF(WBS!B4:B79,A24)</x:f>
        <x:v>1</x:v>
      </x:c>
      <x:c r="C24" s="77" t="n">
        <x:f>COUNTIFS(WBS!B4:B79,A24,WBS!L4:L79,"Done")</x:f>
        <x:v>0</x:v>
      </x:c>
      <x:c r="D24" s="83" t="n">
        <x:f>IF(B24=0,0,C24/B24)</x:f>
        <x:v>0</x:v>
      </x:c>
      <x:c r="E24" s="77"/>
      <x:c r="F24" s="77"/>
      <x:c r="G24" s="77"/>
      <x:c r="H24" s="77"/>
    </x:row>
  </x:sheetData>
  <x:mergeCells>
    <x:mergeCell ref="A1:H1"/>
    <x:mergeCell ref="A3:H3"/>
    <x:mergeCell ref="F17:H17"/>
    <x:mergeCell ref="F18:H18"/>
    <x:mergeCell ref="F19:H19"/>
    <x:mergeCell ref="F20:H20"/>
    <x:mergeCell ref="F21:H21"/>
    <x:mergeCell ref="F22:H22"/>
    <x:mergeCell ref="F23:H23"/>
  </x:mergeCells>
  <x:conditionalFormatting sqref="D12:D24">
    <x:cfRule type="dataBar" priority="1">
      <x:dataBar>
        <x:cfvo type="min"/>
        <x:cfvo type="max"/>
        <x:color rgb="FF2B7A78"/>
      </x:dataBar>
      <x:extLst>
        <x:ext xmlns:x14="http://schemas.microsoft.com/office/spreadsheetml/2009/9/main" uri="{B025F937-C7B1-47D3-B67F-A62EFF666E3E}">
          <x14:id>{8213237C-262D-8CED-9257-E0A72B4BD1FC}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db452c64426e4b4a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8213237C-262D-8CED-9257-E0A72B4BD1FC}">
            <x14:dataBar gradient="1">
              <x14:cfvo type="min"/>
              <x14:cfvo type="max"/>
              <x14:fillColor rgb="FF2B7A78"/>
            </x14:dataBar>
          </x14:cfRule>
          <xm:sqref>D12:D24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28" hidden="0" customWidth="1"/>
    <x:col min="4" max="4" width="42" hidden="0" customWidth="1"/>
    <x:col min="5" max="5" width="22" hidden="0" customWidth="1"/>
    <x:col min="6" max="6" width="10" hidden="0" customWidth="1"/>
    <x:col min="7" max="7" width="20" hidden="0" customWidth="1"/>
    <x:col min="8" max="8" width="28" hidden="0" customWidth="1"/>
    <x:col min="9" max="9" width="42" hidden="0" customWidth="1"/>
    <x:col min="10" max="10" width="13" hidden="0" customWidth="1"/>
    <x:col min="11" max="11" width="13" hidden="0" customWidth="1"/>
    <x:col min="12" max="12" width="15" hidden="0" customWidth="1"/>
    <x:col min="13" max="13" width="12" hidden="0" customWidth="1"/>
  </x:cols>
  <x:sheetData>
    <x:row r="1" ht="30" customHeight="1">
      <x:c r="A1" s="10" t="str">
        <x:v>OffSec Lab v0.1 — Detailed WBS</x:v>
      </x:c>
    </x:row>
    <x:row r="3" ht="28" customHeight="1">
      <x:c r="A3" s="68" t="str">
        <x:v>WBS ID</x:v>
      </x:c>
      <x:c r="B3" s="68" t="str">
        <x:v>Phase</x:v>
      </x:c>
      <x:c r="C3" s="68" t="str">
        <x:v>Task</x:v>
      </x:c>
      <x:c r="D3" s="68" t="str">
        <x:v>概要</x:v>
      </x:c>
      <x:c r="E3" s="68" t="str">
        <x:v>Owner</x:v>
      </x:c>
      <x:c r="F3" s="68" t="str">
        <x:v>Priority</x:v>
      </x:c>
      <x:c r="G3" s="68" t="str">
        <x:v>Depends On</x:v>
      </x:c>
      <x:c r="H3" s="68" t="str">
        <x:v>Deliverable</x:v>
      </x:c>
      <x:c r="I3" s="68" t="str">
        <x:v>Acceptance Criteria</x:v>
      </x:c>
      <x:c r="J3" s="68" t="str">
        <x:v>予定開始</x:v>
      </x:c>
      <x:c r="K3" s="68" t="str">
        <x:v>予定完了</x:v>
      </x:c>
      <x:c r="L3" s="68" t="str">
        <x:v>Status</x:v>
      </x:c>
      <x:c r="M3" s="68" t="str">
        <x:v>Progress</x:v>
      </x:c>
    </x:row>
    <x:row r="4">
      <x:c r="A4" s="69" t="str">
        <x:v>0.1</x:v>
      </x:c>
      <x:c r="B4" s="69" t="str">
        <x:v>Phase 0: Project Foundation</x:v>
      </x:c>
      <x:c r="C4" s="69" t="str">
        <x:v>Repository作成</x:v>
      </x:c>
      <x:c r="D4" s="69" t="str">
        <x:v>Git Repositoryを作成し、main branchを準備する。</x:v>
      </x:c>
      <x:c r="E4" s="69" t="str">
        <x:v>ユーザー</x:v>
      </x:c>
      <x:c r="F4" s="69" t="str">
        <x:v>P0</x:v>
      </x:c>
      <x:c r="G4" s="69" t="str"/>
      <x:c r="H4" s="69" t="str">
        <x:v>Git Repository</x:v>
      </x:c>
      <x:c r="I4" s="69" t="str">
        <x:v>Git初期化済み／main branchが存在する</x:v>
      </x:c>
      <x:c r="J4" s="69"/>
      <x:c r="K4" s="69"/>
      <x:c r="L4" s="69" t="str">
        <x:v>Not Started</x:v>
      </x:c>
      <x:c r="M4" s="70" t="n">
        <x:f>IF(L4="Done",1,IF(L4="In Progress",0.5,IF(L4="Blocked",0.25,0)))</x:f>
        <x:v>0</x:v>
      </x:c>
    </x:row>
    <x:row r="5">
      <x:c r="A5" s="69" t="str">
        <x:v>0.2</x:v>
      </x:c>
      <x:c r="B5" s="69" t="str">
        <x:v>Phase 0: Project Foundation</x:v>
      </x:c>
      <x:c r="C5" s="69" t="str">
        <x:v>ディレクトリ構成作成</x:v>
      </x:c>
      <x:c r="D5" s="69" t="str">
        <x:v>docs/frontend/backend/challenges/infra/tests/scripts等の初期構成を作成する。</x:v>
      </x:c>
      <x:c r="E5" s="69" t="str">
        <x:v>Codex</x:v>
      </x:c>
      <x:c r="F5" s="69" t="str">
        <x:v>P0</x:v>
      </x:c>
      <x:c r="G5" s="69" t="str">
        <x:v>0.1</x:v>
      </x:c>
      <x:c r="H5" s="69" t="str">
        <x:v>Project Scaffold</x:v>
      </x:c>
      <x:c r="I5" s="69" t="str">
        <x:v>基本ディレクトリと主要ファイルが存在する</x:v>
      </x:c>
      <x:c r="J5" s="69"/>
      <x:c r="K5" s="69"/>
      <x:c r="L5" s="69" t="str">
        <x:v>Not Started</x:v>
      </x:c>
      <x:c r="M5" s="70" t="n">
        <x:f>IF(L5="Done",1,IF(L5="In Progress",0.5,IF(L5="Blocked",0.25,0)))</x:f>
        <x:v>0</x:v>
      </x:c>
    </x:row>
    <x:row r="6">
      <x:c r="A6" s="69" t="str">
        <x:v>0.3</x:v>
      </x:c>
      <x:c r="B6" s="69" t="str">
        <x:v>Phase 0: Project Foundation</x:v>
      </x:c>
      <x:c r="C6" s="69" t="str">
        <x:v>AGENTS.md作成</x:v>
      </x:c>
      <x:c r="D6" s="69" t="str">
        <x:v>Codex向けにPurpose/Architecture/Coding/Testing/Security/Documentationルールを定義する。</x:v>
      </x:c>
      <x:c r="E6" s="69" t="str">
        <x:v>ChatGPT / ユーザー</x:v>
      </x:c>
      <x:c r="F6" s="69" t="str">
        <x:v>P0</x:v>
      </x:c>
      <x:c r="G6" s="69" t="str">
        <x:v>0.2</x:v>
      </x:c>
      <x:c r="H6" s="69" t="str">
        <x:v>AGENTS.md</x:v>
      </x:c>
      <x:c r="I6" s="69" t="str">
        <x:v>Codexがプロジェクト方針を参照できる</x:v>
      </x:c>
      <x:c r="J6" s="69"/>
      <x:c r="K6" s="69"/>
      <x:c r="L6" s="69" t="str">
        <x:v>Not Started</x:v>
      </x:c>
      <x:c r="M6" s="70" t="n">
        <x:f>IF(L6="Done",1,IF(L6="In Progress",0.5,IF(L6="Blocked",0.25,0)))</x:f>
        <x:v>0</x:v>
      </x:c>
    </x:row>
    <x:row r="7">
      <x:c r="A7" s="69" t="str">
        <x:v>0.4</x:v>
      </x:c>
      <x:c r="B7" s="69" t="str">
        <x:v>Phase 0: Project Foundation</x:v>
      </x:c>
      <x:c r="C7" s="69" t="str">
        <x:v>Git運用ルール決定</x:v>
      </x:c>
      <x:c r="D7" s="69" t="str">
        <x:v>feature branch・PR・レビュー・Commit prefix等の運用ルールを確定する。</x:v>
      </x:c>
      <x:c r="E7" s="69" t="str">
        <x:v>ユーザー / ChatGPT</x:v>
      </x:c>
      <x:c r="F7" s="69" t="str">
        <x:v>P1</x:v>
      </x:c>
      <x:c r="G7" s="69" t="str">
        <x:v>0.1</x:v>
      </x:c>
      <x:c r="H7" s="69" t="str">
        <x:v>Git運用ルール</x:v>
      </x:c>
      <x:c r="I7" s="69" t="str">
        <x:v>branch/PR/commit方針が文書化されている</x:v>
      </x:c>
      <x:c r="J7" s="69"/>
      <x:c r="K7" s="69"/>
      <x:c r="L7" s="69" t="str">
        <x:v>Not Started</x:v>
      </x:c>
      <x:c r="M7" s="70" t="n">
        <x:f>IF(L7="Done",1,IF(L7="In Progress",0.5,IF(L7="Blocked",0.25,0)))</x:f>
        <x:v>0</x:v>
      </x:c>
    </x:row>
    <x:row r="8">
      <x:c r="A8" s="69" t="str">
        <x:v>1.1</x:v>
      </x:c>
      <x:c r="B8" s="69" t="str">
        <x:v>Phase 1: Basic Design</x:v>
      </x:c>
      <x:c r="C8" s="69" t="str">
        <x:v>システム構成設計</x:v>
      </x:c>
      <x:c r="D8" s="69" t="str">
        <x:v>Browser→Frontend→Backend→DB→Lab Controller→Docker Networkの構成を設計する。</x:v>
      </x:c>
      <x:c r="E8" s="69" t="str">
        <x:v>ChatGPT / Work</x:v>
      </x:c>
      <x:c r="F8" s="69" t="str">
        <x:v>P0</x:v>
      </x:c>
      <x:c r="G8" s="69" t="str">
        <x:v>0.3</x:v>
      </x:c>
      <x:c r="H8" s="69" t="str">
        <x:v>docs/design/architecture.md</x:v>
      </x:c>
      <x:c r="I8" s="69" t="str">
        <x:v>主要コンポーネントと責務・接続関係が定義されている</x:v>
      </x:c>
      <x:c r="J8" s="69"/>
      <x:c r="K8" s="69"/>
      <x:c r="L8" s="69" t="str">
        <x:v>Not Started</x:v>
      </x:c>
      <x:c r="M8" s="70" t="n">
        <x:f>IF(L8="Done",1,IF(L8="In Progress",0.5,IF(L8="Blocked",0.25,0)))</x:f>
        <x:v>0</x:v>
      </x:c>
    </x:row>
    <x:row r="9">
      <x:c r="A9" s="69" t="str">
        <x:v>1.2</x:v>
      </x:c>
      <x:c r="B9" s="69" t="str">
        <x:v>Phase 1: Basic Design</x:v>
      </x:c>
      <x:c r="C9" s="69" t="str">
        <x:v>Frontend基本設計</x:v>
      </x:c>
      <x:c r="D9" s="69" t="str">
        <x:v>Page/Component/API通信/State管理を設計する。</x:v>
      </x:c>
      <x:c r="E9" s="69" t="str">
        <x:v>ChatGPT / Work</x:v>
      </x:c>
      <x:c r="F9" s="69" t="str">
        <x:v>P1</x:v>
      </x:c>
      <x:c r="G9" s="69" t="str">
        <x:v>1.1</x:v>
      </x:c>
      <x:c r="H9" s="69" t="str">
        <x:v>docs/design/frontend_design.md</x:v>
      </x:c>
      <x:c r="I9" s="69" t="str">
        <x:v>主要画面とコンポーネント責務が定義されている</x:v>
      </x:c>
      <x:c r="J9" s="69"/>
      <x:c r="K9" s="69"/>
      <x:c r="L9" s="69" t="str">
        <x:v>Not Started</x:v>
      </x:c>
      <x:c r="M9" s="70" t="n">
        <x:f>IF(L9="Done",1,IF(L9="In Progress",0.5,IF(L9="Blocked",0.25,0)))</x:f>
        <x:v>0</x:v>
      </x:c>
    </x:row>
    <x:row r="10">
      <x:c r="A10" s="69" t="str">
        <x:v>1.3</x:v>
      </x:c>
      <x:c r="B10" s="69" t="str">
        <x:v>Phase 1: Basic Design</x:v>
      </x:c>
      <x:c r="C10" s="69" t="str">
        <x:v>Backend基本設計</x:v>
      </x:c>
      <x:c r="D10" s="69" t="str">
        <x:v>API/Service/Repository/Mission/Challenge/Lab管理を設計する。</x:v>
      </x:c>
      <x:c r="E10" s="69" t="str">
        <x:v>ChatGPT / Work</x:v>
      </x:c>
      <x:c r="F10" s="69" t="str">
        <x:v>P0</x:v>
      </x:c>
      <x:c r="G10" s="69" t="str">
        <x:v>1.1</x:v>
      </x:c>
      <x:c r="H10" s="69" t="str">
        <x:v>docs/design/backend_design.md</x:v>
      </x:c>
      <x:c r="I10" s="69" t="str">
        <x:v>Backend構成・責務・主要APIが定義されている</x:v>
      </x:c>
      <x:c r="J10" s="69"/>
      <x:c r="K10" s="69"/>
      <x:c r="L10" s="69" t="str">
        <x:v>Not Started</x:v>
      </x:c>
      <x:c r="M10" s="70" t="n">
        <x:f>IF(L10="Done",1,IF(L10="In Progress",0.5,IF(L10="Blocked",0.25,0)))</x:f>
        <x:v>0</x:v>
      </x:c>
    </x:row>
    <x:row r="11">
      <x:c r="A11" s="69" t="str">
        <x:v>1.4</x:v>
      </x:c>
      <x:c r="B11" s="69" t="str">
        <x:v>Phase 1: Basic Design</x:v>
      </x:c>
      <x:c r="C11" s="69" t="str">
        <x:v>Database設計</x:v>
      </x:c>
      <x:c r="D11" s="69" t="str">
        <x:v>Mission/Challenge/Hint/ProgressのEntity・ER・Table定義を作成する。</x:v>
      </x:c>
      <x:c r="E11" s="69" t="str">
        <x:v>ChatGPT / Work</x:v>
      </x:c>
      <x:c r="F11" s="69" t="str">
        <x:v>P1</x:v>
      </x:c>
      <x:c r="G11" s="69" t="str">
        <x:v>1.3</x:v>
      </x:c>
      <x:c r="H11" s="69" t="str">
        <x:v>docs/design/database_design.md</x:v>
      </x:c>
      <x:c r="I11" s="69" t="str">
        <x:v>ERと最低限のテーブル定義が確定している</x:v>
      </x:c>
      <x:c r="J11" s="69"/>
      <x:c r="K11" s="69"/>
      <x:c r="L11" s="69" t="str">
        <x:v>Not Started</x:v>
      </x:c>
      <x:c r="M11" s="70" t="n">
        <x:f>IF(L11="Done",1,IF(L11="In Progress",0.5,IF(L11="Blocked",0.25,0)))</x:f>
        <x:v>0</x:v>
      </x:c>
    </x:row>
    <x:row r="12">
      <x:c r="A12" s="69" t="str">
        <x:v>1.5</x:v>
      </x:c>
      <x:c r="B12" s="69" t="str">
        <x:v>Phase 1: Basic Design</x:v>
      </x:c>
      <x:c r="C12" s="69" t="str">
        <x:v>Lab Architecture設計</x:v>
      </x:c>
      <x:c r="D12" s="69" t="str">
        <x:v>Network/IP/Container lifecycle/Isolation/Reset方式を定義する。</x:v>
      </x:c>
      <x:c r="E12" s="69" t="str">
        <x:v>ChatGPT / Work</x:v>
      </x:c>
      <x:c r="F12" s="69" t="str">
        <x:v>P0</x:v>
      </x:c>
      <x:c r="G12" s="69" t="str">
        <x:v>1.1</x:v>
      </x:c>
      <x:c r="H12" s="69" t="str">
        <x:v>docs/design/lab_architecture.md</x:v>
      </x:c>
      <x:c r="I12" s="69" t="str">
        <x:v>Attacker/Targetの隔離・起動停止方式が確定している</x:v>
      </x:c>
      <x:c r="J12" s="69"/>
      <x:c r="K12" s="69"/>
      <x:c r="L12" s="69" t="str">
        <x:v>Not Started</x:v>
      </x:c>
      <x:c r="M12" s="70" t="n">
        <x:f>IF(L12="Done",1,IF(L12="In Progress",0.5,IF(L12="Blocked",0.25,0)))</x:f>
        <x:v>0</x:v>
      </x:c>
    </x:row>
    <x:row r="13">
      <x:c r="A13" s="69" t="str">
        <x:v>1.6</x:v>
      </x:c>
      <x:c r="B13" s="69" t="str">
        <x:v>Phase 1: Basic Design</x:v>
      </x:c>
      <x:c r="C13" s="69" t="str">
        <x:v>Security Design</x:v>
      </x:c>
      <x:c r="D13" s="69" t="str">
        <x:v>Network Isolation/Docker Security/Host Protection/Secrets/Ports/Privilegeを設計する。</x:v>
      </x:c>
      <x:c r="E13" s="69" t="str">
        <x:v>ChatGPT / Work</x:v>
      </x:c>
      <x:c r="F13" s="69" t="str">
        <x:v>P0</x:v>
      </x:c>
      <x:c r="G13" s="69" t="str">
        <x:v>1.5</x:v>
      </x:c>
      <x:c r="H13" s="69" t="str">
        <x:v>docs/security/security_design.md</x:v>
      </x:c>
      <x:c r="I13" s="69" t="str">
        <x:v>脆弱Targetを安全に隔離する要件が明文化されている</x:v>
      </x:c>
      <x:c r="J13" s="69"/>
      <x:c r="K13" s="69"/>
      <x:c r="L13" s="69" t="str">
        <x:v>Not Started</x:v>
      </x:c>
      <x:c r="M13" s="70" t="n">
        <x:f>IF(L13="Done",1,IF(L13="In Progress",0.5,IF(L13="Blocked",0.25,0)))</x:f>
        <x:v>0</x:v>
      </x:c>
    </x:row>
    <x:row r="14">
      <x:c r="A14" s="69" t="str">
        <x:v>2.1</x:v>
      </x:c>
      <x:c r="B14" s="69" t="str">
        <x:v>Phase 2: Development Environment</x:v>
      </x:c>
      <x:c r="C14" s="69" t="str">
        <x:v>Docker環境構築</x:v>
      </x:c>
      <x:c r="D14" s="69" t="str">
        <x:v>frontend/backend/databaseのDocker Compose基盤を構築する。</x:v>
      </x:c>
      <x:c r="E14" s="69" t="str">
        <x:v>Codex</x:v>
      </x:c>
      <x:c r="F14" s="69" t="str">
        <x:v>P0</x:v>
      </x:c>
      <x:c r="G14" s="69" t="str">
        <x:v>1.1,1.3,1.4</x:v>
      </x:c>
      <x:c r="H14" s="69" t="str">
        <x:v>compose.yaml</x:v>
      </x:c>
      <x:c r="I14" s="69" t="str">
        <x:v>docker compose upで3サービスが起動する</x:v>
      </x:c>
      <x:c r="J14" s="69"/>
      <x:c r="K14" s="69"/>
      <x:c r="L14" s="69" t="str">
        <x:v>Not Started</x:v>
      </x:c>
      <x:c r="M14" s="70" t="n">
        <x:f>IF(L14="Done",1,IF(L14="In Progress",0.5,IF(L14="Blocked",0.25,0)))</x:f>
        <x:v>0</x:v>
      </x:c>
    </x:row>
    <x:row r="15">
      <x:c r="A15" s="69" t="str">
        <x:v>2.2</x:v>
      </x:c>
      <x:c r="B15" s="69" t="str">
        <x:v>Phase 2: Development Environment</x:v>
      </x:c>
      <x:c r="C15" s="69" t="str">
        <x:v>Backend環境</x:v>
      </x:c>
      <x:c r="D15" s="69" t="str">
        <x:v>Python/FastAPI/依存管理/Test Frameworkを構築する。</x:v>
      </x:c>
      <x:c r="E15" s="69" t="str">
        <x:v>Codex</x:v>
      </x:c>
      <x:c r="F15" s="69" t="str">
        <x:v>P0</x:v>
      </x:c>
      <x:c r="G15" s="69" t="str">
        <x:v>2.1</x:v>
      </x:c>
      <x:c r="H15" s="69" t="str">
        <x:v>Backend foundation</x:v>
      </x:c>
      <x:c r="I15" s="69" t="str">
        <x:v>GET /health がHTTP 200を返す</x:v>
      </x:c>
      <x:c r="J15" s="69"/>
      <x:c r="K15" s="69"/>
      <x:c r="L15" s="69" t="str">
        <x:v>Not Started</x:v>
      </x:c>
      <x:c r="M15" s="70" t="n">
        <x:f>IF(L15="Done",1,IF(L15="In Progress",0.5,IF(L15="Blocked",0.25,0)))</x:f>
        <x:v>0</x:v>
      </x:c>
    </x:row>
    <x:row r="16">
      <x:c r="A16" s="69" t="str">
        <x:v>2.3</x:v>
      </x:c>
      <x:c r="B16" s="69" t="str">
        <x:v>Phase 2: Development Environment</x:v>
      </x:c>
      <x:c r="C16" s="69" t="str">
        <x:v>Frontend環境</x:v>
      </x:c>
      <x:c r="D16" s="69" t="str">
        <x:v>Next.js/TypeScriptのFrontend基盤を構築する。</x:v>
      </x:c>
      <x:c r="E16" s="69" t="str">
        <x:v>Codex</x:v>
      </x:c>
      <x:c r="F16" s="69" t="str">
        <x:v>P0</x:v>
      </x:c>
      <x:c r="G16" s="69" t="str">
        <x:v>2.1</x:v>
      </x:c>
      <x:c r="H16" s="69" t="str">
        <x:v>Frontend foundation</x:v>
      </x:c>
      <x:c r="I16" s="69" t="str">
        <x:v>BrowserからTop Pageへアクセス可能</x:v>
      </x:c>
      <x:c r="J16" s="69"/>
      <x:c r="K16" s="69"/>
      <x:c r="L16" s="69" t="str">
        <x:v>Not Started</x:v>
      </x:c>
      <x:c r="M16" s="70" t="n">
        <x:f>IF(L16="Done",1,IF(L16="In Progress",0.5,IF(L16="Blocked",0.25,0)))</x:f>
        <x:v>0</x:v>
      </x:c>
    </x:row>
    <x:row r="17">
      <x:c r="A17" s="69" t="str">
        <x:v>2.4</x:v>
      </x:c>
      <x:c r="B17" s="69" t="str">
        <x:v>Phase 2: Development Environment</x:v>
      </x:c>
      <x:c r="C17" s="69" t="str">
        <x:v>PostgreSQL環境</x:v>
      </x:c>
      <x:c r="D17" s="69" t="str">
        <x:v>PostgreSQLと接続設定を構築する。</x:v>
      </x:c>
      <x:c r="E17" s="69" t="str">
        <x:v>Codex</x:v>
      </x:c>
      <x:c r="F17" s="69" t="str">
        <x:v>P1</x:v>
      </x:c>
      <x:c r="G17" s="69" t="str">
        <x:v>2.1,2.2</x:v>
      </x:c>
      <x:c r="H17" s="69" t="str">
        <x:v>Database service</x:v>
      </x:c>
      <x:c r="I17" s="69" t="str">
        <x:v>BackendからDBへ接続可能</x:v>
      </x:c>
      <x:c r="J17" s="69"/>
      <x:c r="K17" s="69"/>
      <x:c r="L17" s="69" t="str">
        <x:v>Not Started</x:v>
      </x:c>
      <x:c r="M17" s="70" t="n">
        <x:f>IF(L17="Done",1,IF(L17="In Progress",0.5,IF(L17="Blocked",0.25,0)))</x:f>
        <x:v>0</x:v>
      </x:c>
    </x:row>
    <x:row r="18">
      <x:c r="A18" s="69" t="str">
        <x:v>2.5</x:v>
      </x:c>
      <x:c r="B18" s="69" t="str">
        <x:v>Phase 2: Development Environment</x:v>
      </x:c>
      <x:c r="C18" s="69" t="str">
        <x:v>Environment Variables</x:v>
      </x:c>
      <x:c r="D18" s="69" t="str">
        <x:v>.env.exampleを作成し、.envをGit対象外にする。</x:v>
      </x:c>
      <x:c r="E18" s="69" t="str">
        <x:v>Codex</x:v>
      </x:c>
      <x:c r="F18" s="69" t="str">
        <x:v>P0</x:v>
      </x:c>
      <x:c r="G18" s="69" t="str">
        <x:v>2.1</x:v>
      </x:c>
      <x:c r="H18" s="69" t="str">
        <x:v>.env.example / .gitignore</x:v>
      </x:c>
      <x:c r="I18" s="69" t="str">
        <x:v>秘密情報がRepositoryへCommitされない</x:v>
      </x:c>
      <x:c r="J18" s="69"/>
      <x:c r="K18" s="69"/>
      <x:c r="L18" s="69" t="str">
        <x:v>Not Started</x:v>
      </x:c>
      <x:c r="M18" s="70" t="n">
        <x:f>IF(L18="Done",1,IF(L18="In Progress",0.5,IF(L18="Blocked",0.25,0)))</x:f>
        <x:v>0</x:v>
      </x:c>
    </x:row>
    <x:row r="19">
      <x:c r="A19" s="69" t="str">
        <x:v>3.1</x:v>
      </x:c>
      <x:c r="B19" s="69" t="str">
        <x:v>Phase 3: Backend / Database</x:v>
      </x:c>
      <x:c r="C19" s="69" t="str">
        <x:v>Mission Model実装</x:v>
      </x:c>
      <x:c r="D19" s="69" t="str">
        <x:v>Mission Entity（id/name/description/difficulty）を実装する。</x:v>
      </x:c>
      <x:c r="E19" s="69" t="str">
        <x:v>Codex</x:v>
      </x:c>
      <x:c r="F19" s="69" t="str">
        <x:v>P0</x:v>
      </x:c>
      <x:c r="G19" s="69" t="str">
        <x:v>2.2,2.4</x:v>
      </x:c>
      <x:c r="H19" s="69" t="str">
        <x:v>Mission model</x:v>
      </x:c>
      <x:c r="I19" s="69" t="str">
        <x:v>Missionデータを保存・取得できる</x:v>
      </x:c>
      <x:c r="J19" s="69"/>
      <x:c r="K19" s="69"/>
      <x:c r="L19" s="69" t="str">
        <x:v>Not Started</x:v>
      </x:c>
      <x:c r="M19" s="70" t="n">
        <x:f>IF(L19="Done",1,IF(L19="In Progress",0.5,IF(L19="Blocked",0.25,0)))</x:f>
        <x:v>0</x:v>
      </x:c>
    </x:row>
    <x:row r="20">
      <x:c r="A20" s="69" t="str">
        <x:v>3.2</x:v>
      </x:c>
      <x:c r="B20" s="69" t="str">
        <x:v>Phase 3: Backend / Database</x:v>
      </x:c>
      <x:c r="C20" s="69" t="str">
        <x:v>Challenge Model実装</x:v>
      </x:c>
      <x:c r="D20" s="69" t="str">
        <x:v>Challenge Entity（id/mission_id/title/description/answer/order）を実装する。</x:v>
      </x:c>
      <x:c r="E20" s="69" t="str">
        <x:v>Codex</x:v>
      </x:c>
      <x:c r="F20" s="69" t="str">
        <x:v>P0</x:v>
      </x:c>
      <x:c r="G20" s="69" t="str">
        <x:v>3.1</x:v>
      </x:c>
      <x:c r="H20" s="69" t="str">
        <x:v>Challenge model</x:v>
      </x:c>
      <x:c r="I20" s="69" t="str">
        <x:v>Missionに紐づくChallengeを保持できる</x:v>
      </x:c>
      <x:c r="J20" s="69"/>
      <x:c r="K20" s="69"/>
      <x:c r="L20" s="69" t="str">
        <x:v>Not Started</x:v>
      </x:c>
      <x:c r="M20" s="70" t="n">
        <x:f>IF(L20="Done",1,IF(L20="In Progress",0.5,IF(L20="Blocked",0.25,0)))</x:f>
        <x:v>0</x:v>
      </x:c>
    </x:row>
    <x:row r="21">
      <x:c r="A21" s="69" t="str">
        <x:v>3.3</x:v>
      </x:c>
      <x:c r="B21" s="69" t="str">
        <x:v>Phase 3: Backend / Database</x:v>
      </x:c>
      <x:c r="C21" s="69" t="str">
        <x:v>Hint Model実装</x:v>
      </x:c>
      <x:c r="D21" s="69" t="str">
        <x:v>Hint Entity（challenge_id/level/content）を実装する。</x:v>
      </x:c>
      <x:c r="E21" s="69" t="str">
        <x:v>Codex</x:v>
      </x:c>
      <x:c r="F21" s="69" t="str">
        <x:v>P1</x:v>
      </x:c>
      <x:c r="G21" s="69" t="str">
        <x:v>3.2</x:v>
      </x:c>
      <x:c r="H21" s="69" t="str">
        <x:v>Hint model</x:v>
      </x:c>
      <x:c r="I21" s="69" t="str">
        <x:v>Challengeごとに段階Hintを保持できる</x:v>
      </x:c>
      <x:c r="J21" s="69"/>
      <x:c r="K21" s="69"/>
      <x:c r="L21" s="69" t="str">
        <x:v>Not Started</x:v>
      </x:c>
      <x:c r="M21" s="70" t="n">
        <x:f>IF(L21="Done",1,IF(L21="In Progress",0.5,IF(L21="Blocked",0.25,0)))</x:f>
        <x:v>0</x:v>
      </x:c>
    </x:row>
    <x:row r="22">
      <x:c r="A22" s="69" t="str">
        <x:v>3.4</x:v>
      </x:c>
      <x:c r="B22" s="69" t="str">
        <x:v>Phase 3: Backend / Database</x:v>
      </x:c>
      <x:c r="C22" s="69" t="str">
        <x:v>Progress Model実装</x:v>
      </x:c>
      <x:c r="D22" s="69" t="str">
        <x:v>Mission/Challengeの進捗状態を保持する。</x:v>
      </x:c>
      <x:c r="E22" s="69" t="str">
        <x:v>Codex</x:v>
      </x:c>
      <x:c r="F22" s="69" t="str">
        <x:v>P0</x:v>
      </x:c>
      <x:c r="G22" s="69" t="str">
        <x:v>3.1,3.2</x:v>
      </x:c>
      <x:c r="H22" s="69" t="str">
        <x:v>Progress model</x:v>
      </x:c>
      <x:c r="I22" s="69" t="str">
        <x:v>Challenge状態を永続化できる</x:v>
      </x:c>
      <x:c r="J22" s="69"/>
      <x:c r="K22" s="69"/>
      <x:c r="L22" s="69" t="str">
        <x:v>Not Started</x:v>
      </x:c>
      <x:c r="M22" s="70" t="n">
        <x:f>IF(L22="Done",1,IF(L22="In Progress",0.5,IF(L22="Blocked",0.25,0)))</x:f>
        <x:v>0</x:v>
      </x:c>
    </x:row>
    <x:row r="23">
      <x:c r="A23" s="69" t="str">
        <x:v>3.5</x:v>
      </x:c>
      <x:c r="B23" s="69" t="str">
        <x:v>Phase 3: Backend / Database</x:v>
      </x:c>
      <x:c r="C23" s="69" t="str">
        <x:v>Migration構築</x:v>
      </x:c>
      <x:c r="D23" s="69" t="str">
        <x:v>DB Migrationを実装し初期DBを再現可能にする。</x:v>
      </x:c>
      <x:c r="E23" s="69" t="str">
        <x:v>Codex</x:v>
      </x:c>
      <x:c r="F23" s="69" t="str">
        <x:v>P0</x:v>
      </x:c>
      <x:c r="G23" s="69" t="str">
        <x:v>3.1,3.2,3.3,3.4</x:v>
      </x:c>
      <x:c r="H23" s="69" t="str">
        <x:v>Migration files</x:v>
      </x:c>
      <x:c r="I23" s="69" t="str">
        <x:v>空DBからSchemaを再作成できる</x:v>
      </x:c>
      <x:c r="J23" s="69"/>
      <x:c r="K23" s="69"/>
      <x:c r="L23" s="69" t="str">
        <x:v>Not Started</x:v>
      </x:c>
      <x:c r="M23" s="70" t="n">
        <x:f>IF(L23="Done",1,IF(L23="In Progress",0.5,IF(L23="Blocked",0.25,0)))</x:f>
        <x:v>0</x:v>
      </x:c>
    </x:row>
    <x:row r="24">
      <x:c r="A24" s="69" t="str">
        <x:v>3.6</x:v>
      </x:c>
      <x:c r="B24" s="69" t="str">
        <x:v>Phase 3: Backend / Database</x:v>
      </x:c>
      <x:c r="C24" s="69" t="str">
        <x:v>Seed Data作成</x:v>
      </x:c>
      <x:c r="D24" s="69" t="str">
        <x:v>Mission 01とChallenge/Hintの初期データを投入する。</x:v>
      </x:c>
      <x:c r="E24" s="69" t="str">
        <x:v>Codex</x:v>
      </x:c>
      <x:c r="F24" s="69" t="str">
        <x:v>P1</x:v>
      </x:c>
      <x:c r="G24" s="69" t="str">
        <x:v>3.5</x:v>
      </x:c>
      <x:c r="H24" s="69" t="str">
        <x:v>Seed data</x:v>
      </x:c>
      <x:c r="I24" s="69" t="str">
        <x:v>初期Missionデータが再現可能</x:v>
      </x:c>
      <x:c r="J24" s="69"/>
      <x:c r="K24" s="69"/>
      <x:c r="L24" s="69" t="str">
        <x:v>Not Started</x:v>
      </x:c>
      <x:c r="M24" s="70" t="n">
        <x:f>IF(L24="Done",1,IF(L24="In Progress",0.5,IF(L24="Blocked",0.25,0)))</x:f>
        <x:v>0</x:v>
      </x:c>
    </x:row>
    <x:row r="25">
      <x:c r="A25" s="69" t="str">
        <x:v>4.1</x:v>
      </x:c>
      <x:c r="B25" s="69" t="str">
        <x:v>Phase 4: Backend API</x:v>
      </x:c>
      <x:c r="C25" s="69" t="str">
        <x:v>Mission List API</x:v>
      </x:c>
      <x:c r="D25" s="69" t="str">
        <x:v>GET /missionsを実装する。</x:v>
      </x:c>
      <x:c r="E25" s="69" t="str">
        <x:v>Codex</x:v>
      </x:c>
      <x:c r="F25" s="69" t="str">
        <x:v>P0</x:v>
      </x:c>
      <x:c r="G25" s="69" t="str">
        <x:v>3.6</x:v>
      </x:c>
      <x:c r="H25" s="69" t="str">
        <x:v>GET /missions</x:v>
      </x:c>
      <x:c r="I25" s="69" t="str">
        <x:v>Mission一覧をJSONで取得できる</x:v>
      </x:c>
      <x:c r="J25" s="69"/>
      <x:c r="K25" s="69"/>
      <x:c r="L25" s="69" t="str">
        <x:v>Not Started</x:v>
      </x:c>
      <x:c r="M25" s="70" t="n">
        <x:f>IF(L25="Done",1,IF(L25="In Progress",0.5,IF(L25="Blocked",0.25,0)))</x:f>
        <x:v>0</x:v>
      </x:c>
    </x:row>
    <x:row r="26">
      <x:c r="A26" s="69" t="str">
        <x:v>4.2</x:v>
      </x:c>
      <x:c r="B26" s="69" t="str">
        <x:v>Phase 4: Backend API</x:v>
      </x:c>
      <x:c r="C26" s="69" t="str">
        <x:v>Mission Detail API</x:v>
      </x:c>
      <x:c r="D26" s="69" t="str">
        <x:v>GET /missions/{id}を実装する。</x:v>
      </x:c>
      <x:c r="E26" s="69" t="str">
        <x:v>Codex</x:v>
      </x:c>
      <x:c r="F26" s="69" t="str">
        <x:v>P0</x:v>
      </x:c>
      <x:c r="G26" s="69" t="str">
        <x:v>4.1</x:v>
      </x:c>
      <x:c r="H26" s="69" t="str">
        <x:v>GET /missions/{id}</x:v>
      </x:c>
      <x:c r="I26" s="69" t="str">
        <x:v>Mission詳細とChallenge一覧を取得できる</x:v>
      </x:c>
      <x:c r="J26" s="69"/>
      <x:c r="K26" s="69"/>
      <x:c r="L26" s="69" t="str">
        <x:v>Not Started</x:v>
      </x:c>
      <x:c r="M26" s="70" t="n">
        <x:f>IF(L26="Done",1,IF(L26="In Progress",0.5,IF(L26="Blocked",0.25,0)))</x:f>
        <x:v>0</x:v>
      </x:c>
    </x:row>
    <x:row r="27">
      <x:c r="A27" s="69" t="str">
        <x:v>4.3</x:v>
      </x:c>
      <x:c r="B27" s="69" t="str">
        <x:v>Phase 4: Backend API</x:v>
      </x:c>
      <x:c r="C27" s="69" t="str">
        <x:v>Challenge Answer API</x:v>
      </x:c>
      <x:c r="D27" s="69" t="str">
        <x:v>POST /challenges/{id}/answerを実装する。</x:v>
      </x:c>
      <x:c r="E27" s="69" t="str">
        <x:v>Codex</x:v>
      </x:c>
      <x:c r="F27" s="69" t="str">
        <x:v>P0</x:v>
      </x:c>
      <x:c r="G27" s="69" t="str">
        <x:v>3.2,3.4</x:v>
      </x:c>
      <x:c r="H27" s="69" t="str">
        <x:v>Challenge answer API</x:v>
      </x:c>
      <x:c r="I27" s="69" t="str">
        <x:v>正誤判定結果を返せる</x:v>
      </x:c>
      <x:c r="J27" s="69"/>
      <x:c r="K27" s="69"/>
      <x:c r="L27" s="69" t="str">
        <x:v>Not Started</x:v>
      </x:c>
      <x:c r="M27" s="70" t="n">
        <x:f>IF(L27="Done",1,IF(L27="In Progress",0.5,IF(L27="Blocked",0.25,0)))</x:f>
        <x:v>0</x:v>
      </x:c>
    </x:row>
    <x:row r="28">
      <x:c r="A28" s="69" t="str">
        <x:v>4.4</x:v>
      </x:c>
      <x:c r="B28" s="69" t="str">
        <x:v>Phase 4: Backend API</x:v>
      </x:c>
      <x:c r="C28" s="69" t="str">
        <x:v>Progress API</x:v>
      </x:c>
      <x:c r="D28" s="69" t="str">
        <x:v>GET /progressを実装する。</x:v>
      </x:c>
      <x:c r="E28" s="69" t="str">
        <x:v>Codex</x:v>
      </x:c>
      <x:c r="F28" s="69" t="str">
        <x:v>P1</x:v>
      </x:c>
      <x:c r="G28" s="69" t="str">
        <x:v>3.4</x:v>
      </x:c>
      <x:c r="H28" s="69" t="str">
        <x:v>GET /progress</x:v>
      </x:c>
      <x:c r="I28" s="69" t="str">
        <x:v>Challenge進捗を取得できる</x:v>
      </x:c>
      <x:c r="J28" s="69"/>
      <x:c r="K28" s="69"/>
      <x:c r="L28" s="69" t="str">
        <x:v>Not Started</x:v>
      </x:c>
      <x:c r="M28" s="70" t="n">
        <x:f>IF(L28="Done",1,IF(L28="In Progress",0.5,IF(L28="Blocked",0.25,0)))</x:f>
        <x:v>0</x:v>
      </x:c>
    </x:row>
    <x:row r="29">
      <x:c r="A29" s="69" t="str">
        <x:v>4.5</x:v>
      </x:c>
      <x:c r="B29" s="69" t="str">
        <x:v>Phase 4: Backend API</x:v>
      </x:c>
      <x:c r="C29" s="69" t="str">
        <x:v>Mission Complete Logic</x:v>
      </x:c>
      <x:c r="D29" s="69" t="str">
        <x:v>全必須Challenge完了時にMission Completeへ遷移する。</x:v>
      </x:c>
      <x:c r="E29" s="69" t="str">
        <x:v>Codex</x:v>
      </x:c>
      <x:c r="F29" s="69" t="str">
        <x:v>P0</x:v>
      </x:c>
      <x:c r="G29" s="69" t="str">
        <x:v>4.3,4.4</x:v>
      </x:c>
      <x:c r="H29" s="69" t="str">
        <x:v>Mission completion logic</x:v>
      </x:c>
      <x:c r="I29" s="69" t="str">
        <x:v>全Challenge完了でMISSION_COMPLETEになる</x:v>
      </x:c>
      <x:c r="J29" s="69"/>
      <x:c r="K29" s="69"/>
      <x:c r="L29" s="69" t="str">
        <x:v>Not Started</x:v>
      </x:c>
      <x:c r="M29" s="70" t="n">
        <x:f>IF(L29="Done",1,IF(L29="In Progress",0.5,IF(L29="Blocked",0.25,0)))</x:f>
        <x:v>0</x:v>
      </x:c>
    </x:row>
    <x:row r="30">
      <x:c r="A30" s="69" t="str">
        <x:v>5.1</x:v>
      </x:c>
      <x:c r="B30" s="69" t="str">
        <x:v>Phase 5: Lab Infrastructure</x:v>
      </x:c>
      <x:c r="C30" s="69" t="str">
        <x:v>Challenge Network作成</x:v>
      </x:c>
      <x:c r="D30" s="69" t="str">
        <x:v>Mission 01専用の隔離Docker Networkを作成する。</x:v>
      </x:c>
      <x:c r="E30" s="69" t="str">
        <x:v>Codex</x:v>
      </x:c>
      <x:c r="F30" s="69" t="str">
        <x:v>P0</x:v>
      </x:c>
      <x:c r="G30" s="69" t="str">
        <x:v>1.5,1.6</x:v>
      </x:c>
      <x:c r="H30" s="69" t="str">
        <x:v>offsec-lab-m01 network</x:v>
      </x:c>
      <x:c r="I30" s="69" t="str">
        <x:v>TargetがInternetへ直接公開されない</x:v>
      </x:c>
      <x:c r="J30" s="69"/>
      <x:c r="K30" s="69"/>
      <x:c r="L30" s="69" t="str">
        <x:v>Not Started</x:v>
      </x:c>
      <x:c r="M30" s="70" t="n">
        <x:f>IF(L30="Done",1,IF(L30="In Progress",0.5,IF(L30="Blocked",0.25,0)))</x:f>
        <x:v>0</x:v>
      </x:c>
    </x:row>
    <x:row r="31">
      <x:c r="A31" s="69" t="str">
        <x:v>5.2</x:v>
      </x:c>
      <x:c r="B31" s="69" t="str">
        <x:v>Phase 5: Lab Infrastructure</x:v>
      </x:c>
      <x:c r="C31" s="69" t="str">
        <x:v>Attacker Container作成</x:v>
      </x:c>
      <x:c r="D31" s="69" t="str">
        <x:v>Linuxベースでping/nmap/curlを利用できるAttackerを作成する。</x:v>
      </x:c>
      <x:c r="E31" s="69" t="str">
        <x:v>Codex</x:v>
      </x:c>
      <x:c r="F31" s="69" t="str">
        <x:v>P0</x:v>
      </x:c>
      <x:c r="G31" s="69" t="str">
        <x:v>5.1</x:v>
      </x:c>
      <x:c r="H31" s="69" t="str">
        <x:v>Attacker image/container</x:v>
      </x:c>
      <x:c r="I31" s="69" t="str">
        <x:v>ping/nmap/curlが使用可能</x:v>
      </x:c>
      <x:c r="J31" s="69"/>
      <x:c r="K31" s="69"/>
      <x:c r="L31" s="69" t="str">
        <x:v>Not Started</x:v>
      </x:c>
      <x:c r="M31" s="70" t="n">
        <x:f>IF(L31="Done",1,IF(L31="In Progress",0.5,IF(L31="Blocked",0.25,0)))</x:f>
        <x:v>0</x:v>
      </x:c>
    </x:row>
    <x:row r="32">
      <x:c r="A32" s="69" t="str">
        <x:v>5.3</x:v>
      </x:c>
      <x:c r="B32" s="69" t="str">
        <x:v>Phase 5: Lab Infrastructure</x:v>
      </x:c>
      <x:c r="C32" s="69" t="str">
        <x:v>Target Container作成</x:v>
      </x:c>
      <x:c r="D32" s="69" t="str">
        <x:v>Mission 01用Targetを作成し22/tcp・80/tcpを提供する。</x:v>
      </x:c>
      <x:c r="E32" s="69" t="str">
        <x:v>Codex</x:v>
      </x:c>
      <x:c r="F32" s="69" t="str">
        <x:v>P0</x:v>
      </x:c>
      <x:c r="G32" s="69" t="str">
        <x:v>5.1</x:v>
      </x:c>
      <x:c r="H32" s="69" t="str">
        <x:v>Target image/container</x:v>
      </x:c>
      <x:c r="I32" s="69" t="str">
        <x:v>意図したServiceのみ稼働する</x:v>
      </x:c>
      <x:c r="J32" s="69"/>
      <x:c r="K32" s="69"/>
      <x:c r="L32" s="69" t="str">
        <x:v>Not Started</x:v>
      </x:c>
      <x:c r="M32" s="70" t="n">
        <x:f>IF(L32="Done",1,IF(L32="In Progress",0.5,IF(L32="Blocked",0.25,0)))</x:f>
        <x:v>0</x:v>
      </x:c>
    </x:row>
    <x:row r="33">
      <x:c r="A33" s="69" t="str">
        <x:v>5.4</x:v>
      </x:c>
      <x:c r="B33" s="69" t="str">
        <x:v>Phase 5: Lab Infrastructure</x:v>
      </x:c>
      <x:c r="C33" s="69" t="str">
        <x:v>Target HTTP Server</x:v>
      </x:c>
      <x:c r="D33" s="69" t="str">
        <x:v>HTTP Status/Header/Titleを確認できるWeb Serverを用意する。</x:v>
      </x:c>
      <x:c r="E33" s="69" t="str">
        <x:v>Codex</x:v>
      </x:c>
      <x:c r="F33" s="69" t="str">
        <x:v>P0</x:v>
      </x:c>
      <x:c r="G33" s="69" t="str">
        <x:v>5.3</x:v>
      </x:c>
      <x:c r="H33" s="69" t="str">
        <x:v>HTTP service</x:v>
      </x:c>
      <x:c r="I33" s="69" t="str">
        <x:v>curl等でMission用情報を取得できる</x:v>
      </x:c>
      <x:c r="J33" s="69"/>
      <x:c r="K33" s="69"/>
      <x:c r="L33" s="69" t="str">
        <x:v>Not Started</x:v>
      </x:c>
      <x:c r="M33" s="70" t="n">
        <x:f>IF(L33="Done",1,IF(L33="In Progress",0.5,IF(L33="Blocked",0.25,0)))</x:f>
        <x:v>0</x:v>
      </x:c>
    </x:row>
    <x:row r="34">
      <x:c r="A34" s="69" t="str">
        <x:v>5.5</x:v>
      </x:c>
      <x:c r="B34" s="69" t="str">
        <x:v>Phase 5: Lab Infrastructure</x:v>
      </x:c>
      <x:c r="C34" s="69" t="str">
        <x:v>Target SSH Server</x:v>
      </x:c>
      <x:c r="D34" s="69" t="str">
        <x:v>Service Enumeration対象としてSSH Serviceを用意する。</x:v>
      </x:c>
      <x:c r="E34" s="69" t="str">
        <x:v>Codex</x:v>
      </x:c>
      <x:c r="F34" s="69" t="str">
        <x:v>P1</x:v>
      </x:c>
      <x:c r="G34" s="69" t="str">
        <x:v>5.3</x:v>
      </x:c>
      <x:c r="H34" s="69" t="str">
        <x:v>SSH service</x:v>
      </x:c>
      <x:c r="I34" s="69" t="str">
        <x:v>nmap -sVでSSH Serviceを識別可能</x:v>
      </x:c>
      <x:c r="J34" s="69"/>
      <x:c r="K34" s="69"/>
      <x:c r="L34" s="69" t="str">
        <x:v>Not Started</x:v>
      </x:c>
      <x:c r="M34" s="70" t="n">
        <x:f>IF(L34="Done",1,IF(L34="In Progress",0.5,IF(L34="Blocked",0.25,0)))</x:f>
        <x:v>0</x:v>
      </x:c>
    </x:row>
    <x:row r="35">
      <x:c r="A35" s="69" t="str">
        <x:v>5.6</x:v>
      </x:c>
      <x:c r="B35" s="69" t="str">
        <x:v>Phase 5: Lab Infrastructure</x:v>
      </x:c>
      <x:c r="C35" s="69" t="str">
        <x:v>Network Reachability Test</x:v>
      </x:c>
      <x:c r="D35" s="69" t="str">
        <x:v>Attacker→Targetの到達性を確認する。</x:v>
      </x:c>
      <x:c r="E35" s="69" t="str">
        <x:v>Codex / ユーザー</x:v>
      </x:c>
      <x:c r="F35" s="69" t="str">
        <x:v>P0</x:v>
      </x:c>
      <x:c r="G35" s="69" t="str">
        <x:v>5.2,5.3</x:v>
      </x:c>
      <x:c r="H35" s="69" t="str">
        <x:v>Connectivity test result</x:v>
      </x:c>
      <x:c r="I35" s="69" t="str">
        <x:v>AttackerからTargetへ接続できる</x:v>
      </x:c>
      <x:c r="J35" s="69"/>
      <x:c r="K35" s="69"/>
      <x:c r="L35" s="69" t="str">
        <x:v>Not Started</x:v>
      </x:c>
      <x:c r="M35" s="70" t="n">
        <x:f>IF(L35="Done",1,IF(L35="In Progress",0.5,IF(L35="Blocked",0.25,0)))</x:f>
        <x:v>0</x:v>
      </x:c>
    </x:row>
    <x:row r="36">
      <x:c r="A36" s="69" t="str">
        <x:v>5.7</x:v>
      </x:c>
      <x:c r="B36" s="69" t="str">
        <x:v>Phase 5: Lab Infrastructure</x:v>
      </x:c>
      <x:c r="C36" s="69" t="str">
        <x:v>Nmap Test</x:v>
      </x:c>
      <x:c r="D36" s="69" t="str">
        <x:v>AttackerからPort Scanを実行し22/80を確認する。</x:v>
      </x:c>
      <x:c r="E36" s="69" t="str">
        <x:v>Codex / ユーザー</x:v>
      </x:c>
      <x:c r="F36" s="69" t="str">
        <x:v>P0</x:v>
      </x:c>
      <x:c r="G36" s="69" t="str">
        <x:v>5.6</x:v>
      </x:c>
      <x:c r="H36" s="69" t="str">
        <x:v>Nmap result</x:v>
      </x:c>
      <x:c r="I36" s="69" t="str">
        <x:v>想定Open Portを取得できる</x:v>
      </x:c>
      <x:c r="J36" s="69"/>
      <x:c r="K36" s="69"/>
      <x:c r="L36" s="69" t="str">
        <x:v>Not Started</x:v>
      </x:c>
      <x:c r="M36" s="70" t="n">
        <x:f>IF(L36="Done",1,IF(L36="In Progress",0.5,IF(L36="Blocked",0.25,0)))</x:f>
        <x:v>0</x:v>
      </x:c>
    </x:row>
    <x:row r="37">
      <x:c r="A37" s="69" t="str">
        <x:v>5.8</x:v>
      </x:c>
      <x:c r="B37" s="69" t="str">
        <x:v>Phase 5: Lab Infrastructure</x:v>
      </x:c>
      <x:c r="C37" s="69" t="str">
        <x:v>Service Detection Test</x:v>
      </x:c>
      <x:c r="D37" s="69" t="str">
        <x:v>nmap -sVでService情報を取得する。</x:v>
      </x:c>
      <x:c r="E37" s="69" t="str">
        <x:v>Codex / ユーザー</x:v>
      </x:c>
      <x:c r="F37" s="69" t="str">
        <x:v>P0</x:v>
      </x:c>
      <x:c r="G37" s="69" t="str">
        <x:v>5.7</x:v>
      </x:c>
      <x:c r="H37" s="69" t="str">
        <x:v>Service detection result</x:v>
      </x:c>
      <x:c r="I37" s="69" t="str">
        <x:v>想定Service/Versionを取得できる</x:v>
      </x:c>
      <x:c r="J37" s="69"/>
      <x:c r="K37" s="69"/>
      <x:c r="L37" s="69" t="str">
        <x:v>Not Started</x:v>
      </x:c>
      <x:c r="M37" s="70" t="n">
        <x:f>IF(L37="Done",1,IF(L37="In Progress",0.5,IF(L37="Blocked",0.25,0)))</x:f>
        <x:v>0</x:v>
      </x:c>
    </x:row>
    <x:row r="38">
      <x:c r="A38" s="69" t="str">
        <x:v>6.1</x:v>
      </x:c>
      <x:c r="B38" s="69" t="str">
        <x:v>Phase 6: Lab Controller</x:v>
      </x:c>
      <x:c r="C38" s="69" t="str">
        <x:v>Lab Start実装</x:v>
      </x:c>
      <x:c r="D38" s="69" t="str">
        <x:v>Mission IDに応じてNetwork/Attacker/Targetを起動する。</x:v>
      </x:c>
      <x:c r="E38" s="69" t="str">
        <x:v>Codex</x:v>
      </x:c>
      <x:c r="F38" s="69" t="str">
        <x:v>P0</x:v>
      </x:c>
      <x:c r="G38" s="69" t="str">
        <x:v>5.1,5.2,5.3</x:v>
      </x:c>
      <x:c r="H38" s="69" t="str">
        <x:v>POST /labs/{mission_id}/start</x:v>
      </x:c>
      <x:c r="I38" s="69" t="str">
        <x:v>LabがRUNNINGまで遷移する</x:v>
      </x:c>
      <x:c r="J38" s="69"/>
      <x:c r="K38" s="69"/>
      <x:c r="L38" s="69" t="str">
        <x:v>Not Started</x:v>
      </x:c>
      <x:c r="M38" s="70" t="n">
        <x:f>IF(L38="Done",1,IF(L38="In Progress",0.5,IF(L38="Blocked",0.25,0)))</x:f>
        <x:v>0</x:v>
      </x:c>
    </x:row>
    <x:row r="39">
      <x:c r="A39" s="69" t="str">
        <x:v>6.2</x:v>
      </x:c>
      <x:c r="B39" s="69" t="str">
        <x:v>Phase 6: Lab Controller</x:v>
      </x:c>
      <x:c r="C39" s="69" t="str">
        <x:v>Lab Status実装</x:v>
      </x:c>
      <x:c r="D39" s="69" t="str">
        <x:v>STOPPED/STARTING/RUNNING/STOPPING/ERRORを取得可能にする。</x:v>
      </x:c>
      <x:c r="E39" s="69" t="str">
        <x:v>Codex</x:v>
      </x:c>
      <x:c r="F39" s="69" t="str">
        <x:v>P0</x:v>
      </x:c>
      <x:c r="G39" s="69" t="str">
        <x:v>6.1</x:v>
      </x:c>
      <x:c r="H39" s="69" t="str">
        <x:v>GET /labs/{mission_id}/status</x:v>
      </x:c>
      <x:c r="I39" s="69" t="str">
        <x:v>現在状態を正しく返す</x:v>
      </x:c>
      <x:c r="J39" s="69"/>
      <x:c r="K39" s="69"/>
      <x:c r="L39" s="69" t="str">
        <x:v>Not Started</x:v>
      </x:c>
      <x:c r="M39" s="70" t="n">
        <x:f>IF(L39="Done",1,IF(L39="In Progress",0.5,IF(L39="Blocked",0.25,0)))</x:f>
        <x:v>0</x:v>
      </x:c>
    </x:row>
    <x:row r="40">
      <x:c r="A40" s="69" t="str">
        <x:v>6.3</x:v>
      </x:c>
      <x:c r="B40" s="69" t="str">
        <x:v>Phase 6: Lab Controller</x:v>
      </x:c>
      <x:c r="C40" s="69" t="str">
        <x:v>Lab Stop実装</x:v>
      </x:c>
      <x:c r="D40" s="69" t="str">
        <x:v>Mission用Containerを安全に停止する。</x:v>
      </x:c>
      <x:c r="E40" s="69" t="str">
        <x:v>Codex</x:v>
      </x:c>
      <x:c r="F40" s="69" t="str">
        <x:v>P0</x:v>
      </x:c>
      <x:c r="G40" s="69" t="str">
        <x:v>6.1</x:v>
      </x:c>
      <x:c r="H40" s="69" t="str">
        <x:v>POST /labs/{mission_id}/stop</x:v>
      </x:c>
      <x:c r="I40" s="69" t="str">
        <x:v>Mission用Containerが停止する</x:v>
      </x:c>
      <x:c r="J40" s="69"/>
      <x:c r="K40" s="69"/>
      <x:c r="L40" s="69" t="str">
        <x:v>Not Started</x:v>
      </x:c>
      <x:c r="M40" s="70" t="n">
        <x:f>IF(L40="Done",1,IF(L40="In Progress",0.5,IF(L40="Blocked",0.25,0)))</x:f>
        <x:v>0</x:v>
      </x:c>
    </x:row>
    <x:row r="41">
      <x:c r="A41" s="69" t="str">
        <x:v>6.4</x:v>
      </x:c>
      <x:c r="B41" s="69" t="str">
        <x:v>Phase 6: Lab Controller</x:v>
      </x:c>
      <x:c r="C41" s="69" t="str">
        <x:v>Lab Reset実装</x:v>
      </x:c>
      <x:c r="D41" s="69" t="str">
        <x:v>Stop→Remove→Recreate→Startで初期状態へ戻す。</x:v>
      </x:c>
      <x:c r="E41" s="69" t="str">
        <x:v>Codex</x:v>
      </x:c>
      <x:c r="F41" s="69" t="str">
        <x:v>P0</x:v>
      </x:c>
      <x:c r="G41" s="69" t="str">
        <x:v>6.1,6.3</x:v>
      </x:c>
      <x:c r="H41" s="69" t="str">
        <x:v>POST /labs/{mission_id}/reset</x:v>
      </x:c>
      <x:c r="I41" s="69" t="str">
        <x:v>変更されたLabを既知状態へ戻せる</x:v>
      </x:c>
      <x:c r="J41" s="69"/>
      <x:c r="K41" s="69"/>
      <x:c r="L41" s="69" t="str">
        <x:v>Not Started</x:v>
      </x:c>
      <x:c r="M41" s="70" t="n">
        <x:f>IF(L41="Done",1,IF(L41="In Progress",0.5,IF(L41="Blocked",0.25,0)))</x:f>
        <x:v>0</x:v>
      </x:c>
    </x:row>
    <x:row r="42">
      <x:c r="A42" s="69" t="str">
        <x:v>6.5</x:v>
      </x:c>
      <x:c r="B42" s="69" t="str">
        <x:v>Phase 6: Lab Controller</x:v>
      </x:c>
      <x:c r="C42" s="69" t="str">
        <x:v>Error Handling</x:v>
      </x:c>
      <x:c r="D42" s="69" t="str">
        <x:v>Docker unavailable/start failure/network failure/timeoutを処理する。</x:v>
      </x:c>
      <x:c r="E42" s="69" t="str">
        <x:v>Codex</x:v>
      </x:c>
      <x:c r="F42" s="69" t="str">
        <x:v>P1</x:v>
      </x:c>
      <x:c r="G42" s="69" t="str">
        <x:v>6.1,6.2,6.3,6.4</x:v>
      </x:c>
      <x:c r="H42" s="69" t="str">
        <x:v>Lab error handling</x:v>
      </x:c>
      <x:c r="I42" s="69" t="str">
        <x:v>失敗時にERRORと原因を確認できる</x:v>
      </x:c>
      <x:c r="J42" s="69"/>
      <x:c r="K42" s="69"/>
      <x:c r="L42" s="69" t="str">
        <x:v>Not Started</x:v>
      </x:c>
      <x:c r="M42" s="70" t="n">
        <x:f>IF(L42="Done",1,IF(L42="In Progress",0.5,IF(L42="Blocked",0.25,0)))</x:f>
        <x:v>0</x:v>
      </x:c>
    </x:row>
    <x:row r="43">
      <x:c r="A43" s="69" t="str">
        <x:v>7.1</x:v>
      </x:c>
      <x:c r="B43" s="69" t="str">
        <x:v>Phase 7: Frontend</x:v>
      </x:c>
      <x:c r="C43" s="69" t="str">
        <x:v>Home Page</x:v>
      </x:c>
      <x:c r="D43" s="69" t="str">
        <x:v>OffSec LabのTop Pageを作成する。</x:v>
      </x:c>
      <x:c r="E43" s="69" t="str">
        <x:v>Codex</x:v>
      </x:c>
      <x:c r="F43" s="69" t="str">
        <x:v>P1</x:v>
      </x:c>
      <x:c r="G43" s="69" t="str">
        <x:v>2.3</x:v>
      </x:c>
      <x:c r="H43" s="69" t="str">
        <x:v>Home page</x:v>
      </x:c>
      <x:c r="I43" s="69" t="str">
        <x:v>BrowserでTop Pageが表示される</x:v>
      </x:c>
      <x:c r="J43" s="69"/>
      <x:c r="K43" s="69"/>
      <x:c r="L43" s="69" t="str">
        <x:v>Not Started</x:v>
      </x:c>
      <x:c r="M43" s="70" t="n">
        <x:f>IF(L43="Done",1,IF(L43="In Progress",0.5,IF(L43="Blocked",0.25,0)))</x:f>
        <x:v>0</x:v>
      </x:c>
    </x:row>
    <x:row r="44">
      <x:c r="A44" s="69" t="str">
        <x:v>7.2</x:v>
      </x:c>
      <x:c r="B44" s="69" t="str">
        <x:v>Phase 7: Frontend</x:v>
      </x:c>
      <x:c r="C44" s="69" t="str">
        <x:v>Mission List Page</x:v>
      </x:c>
      <x:c r="D44" s="69" t="str">
        <x:v>Mission CardとStatusを表示する。</x:v>
      </x:c>
      <x:c r="E44" s="69" t="str">
        <x:v>Codex</x:v>
      </x:c>
      <x:c r="F44" s="69" t="str">
        <x:v>P0</x:v>
      </x:c>
      <x:c r="G44" s="69" t="str">
        <x:v>4.1,7.1</x:v>
      </x:c>
      <x:c r="H44" s="69" t="str">
        <x:v>Mission list UI</x:v>
      </x:c>
      <x:c r="I44" s="69" t="str">
        <x:v>Mission 01を選択できる</x:v>
      </x:c>
      <x:c r="J44" s="69"/>
      <x:c r="K44" s="69"/>
      <x:c r="L44" s="69" t="str">
        <x:v>Not Started</x:v>
      </x:c>
      <x:c r="M44" s="70" t="n">
        <x:f>IF(L44="Done",1,IF(L44="In Progress",0.5,IF(L44="Blocked",0.25,0)))</x:f>
        <x:v>0</x:v>
      </x:c>
    </x:row>
    <x:row r="45">
      <x:c r="A45" s="69" t="str">
        <x:v>7.3</x:v>
      </x:c>
      <x:c r="B45" s="69" t="str">
        <x:v>Phase 7: Frontend</x:v>
      </x:c>
      <x:c r="C45" s="69" t="str">
        <x:v>Mission Detail Page</x:v>
      </x:c>
      <x:c r="D45" s="69" t="str">
        <x:v>Scenario/Objective/Learning Goals/Challenge一覧を表示する。</x:v>
      </x:c>
      <x:c r="E45" s="69" t="str">
        <x:v>Codex</x:v>
      </x:c>
      <x:c r="F45" s="69" t="str">
        <x:v>P0</x:v>
      </x:c>
      <x:c r="G45" s="69" t="str">
        <x:v>4.2,7.2</x:v>
      </x:c>
      <x:c r="H45" s="69" t="str">
        <x:v>Mission detail UI</x:v>
      </x:c>
      <x:c r="I45" s="69" t="str">
        <x:v>Mission詳細を確認できる</x:v>
      </x:c>
      <x:c r="J45" s="69"/>
      <x:c r="K45" s="69"/>
      <x:c r="L45" s="69" t="str">
        <x:v>Not Started</x:v>
      </x:c>
      <x:c r="M45" s="70" t="n">
        <x:f>IF(L45="Done",1,IF(L45="In Progress",0.5,IF(L45="Blocked",0.25,0)))</x:f>
        <x:v>0</x:v>
      </x:c>
    </x:row>
    <x:row r="46">
      <x:c r="A46" s="69" t="str">
        <x:v>7.4</x:v>
      </x:c>
      <x:c r="B46" s="69" t="str">
        <x:v>Phase 7: Frontend</x:v>
      </x:c>
      <x:c r="C46" s="69" t="str">
        <x:v>Lab Control UI</x:v>
      </x:c>
      <x:c r="D46" s="69" t="str">
        <x:v>Start/Stop/Reset操作を実装する。</x:v>
      </x:c>
      <x:c r="E46" s="69" t="str">
        <x:v>Codex</x:v>
      </x:c>
      <x:c r="F46" s="69" t="str">
        <x:v>P0</x:v>
      </x:c>
      <x:c r="G46" s="69" t="str">
        <x:v>6.1,6.3,6.4,7.3</x:v>
      </x:c>
      <x:c r="H46" s="69" t="str">
        <x:v>Lab controls</x:v>
      </x:c>
      <x:c r="I46" s="69" t="str">
        <x:v>画面からLab操作ができる</x:v>
      </x:c>
      <x:c r="J46" s="69"/>
      <x:c r="K46" s="69"/>
      <x:c r="L46" s="69" t="str">
        <x:v>Not Started</x:v>
      </x:c>
      <x:c r="M46" s="70" t="n">
        <x:f>IF(L46="Done",1,IF(L46="In Progress",0.5,IF(L46="Blocked",0.25,0)))</x:f>
        <x:v>0</x:v>
      </x:c>
    </x:row>
    <x:row r="47">
      <x:c r="A47" s="69" t="str">
        <x:v>7.5</x:v>
      </x:c>
      <x:c r="B47" s="69" t="str">
        <x:v>Phase 7: Frontend</x:v>
      </x:c>
      <x:c r="C47" s="69" t="str">
        <x:v>Lab Status表示</x:v>
      </x:c>
      <x:c r="D47" s="69" t="str">
        <x:v>Lab Statusを画面へ表示する。</x:v>
      </x:c>
      <x:c r="E47" s="69" t="str">
        <x:v>Codex</x:v>
      </x:c>
      <x:c r="F47" s="69" t="str">
        <x:v>P0</x:v>
      </x:c>
      <x:c r="G47" s="69" t="str">
        <x:v>6.2,7.4</x:v>
      </x:c>
      <x:c r="H47" s="69" t="str">
        <x:v>Lab status UI</x:v>
      </x:c>
      <x:c r="I47" s="69" t="str">
        <x:v>RUNNING等の状態が確認できる</x:v>
      </x:c>
      <x:c r="J47" s="69"/>
      <x:c r="K47" s="69"/>
      <x:c r="L47" s="69" t="str">
        <x:v>Not Started</x:v>
      </x:c>
      <x:c r="M47" s="70" t="n">
        <x:f>IF(L47="Done",1,IF(L47="In Progress",0.5,IF(L47="Blocked",0.25,0)))</x:f>
        <x:v>0</x:v>
      </x:c>
    </x:row>
    <x:row r="48">
      <x:c r="A48" s="69" t="str">
        <x:v>7.6</x:v>
      </x:c>
      <x:c r="B48" s="69" t="str">
        <x:v>Phase 7: Frontend</x:v>
      </x:c>
      <x:c r="C48" s="69" t="str">
        <x:v>Target Information</x:v>
      </x:c>
      <x:c r="D48" s="69" t="str">
        <x:v>Mission中にTarget IPを表示する。</x:v>
      </x:c>
      <x:c r="E48" s="69" t="str">
        <x:v>Codex</x:v>
      </x:c>
      <x:c r="F48" s="69" t="str">
        <x:v>P0</x:v>
      </x:c>
      <x:c r="G48" s="69" t="str">
        <x:v>6.1,7.3</x:v>
      </x:c>
      <x:c r="H48" s="69" t="str">
        <x:v>Target information UI</x:v>
      </x:c>
      <x:c r="I48" s="69" t="str">
        <x:v>ユーザーがTarget IPを確認できる</x:v>
      </x:c>
      <x:c r="J48" s="69"/>
      <x:c r="K48" s="69"/>
      <x:c r="L48" s="69" t="str">
        <x:v>Not Started</x:v>
      </x:c>
      <x:c r="M48" s="70" t="n">
        <x:f>IF(L48="Done",1,IF(L48="In Progress",0.5,IF(L48="Blocked",0.25,0)))</x:f>
        <x:v>0</x:v>
      </x:c>
    </x:row>
    <x:row r="49">
      <x:c r="A49" s="69" t="str">
        <x:v>7.7</x:v>
      </x:c>
      <x:c r="B49" s="69" t="str">
        <x:v>Phase 7: Frontend</x:v>
      </x:c>
      <x:c r="C49" s="69" t="str">
        <x:v>Challenge UI</x:v>
      </x:c>
      <x:c r="D49" s="69" t="str">
        <x:v>Challenge本文・Answer入力・Submitを実装する。</x:v>
      </x:c>
      <x:c r="E49" s="69" t="str">
        <x:v>Codex</x:v>
      </x:c>
      <x:c r="F49" s="69" t="str">
        <x:v>P0</x:v>
      </x:c>
      <x:c r="G49" s="69" t="str">
        <x:v>4.3,7.3</x:v>
      </x:c>
      <x:c r="H49" s="69" t="str">
        <x:v>Challenge UI</x:v>
      </x:c>
      <x:c r="I49" s="69" t="str">
        <x:v>回答をBackendへ送信できる</x:v>
      </x:c>
      <x:c r="J49" s="69"/>
      <x:c r="K49" s="69"/>
      <x:c r="L49" s="69" t="str">
        <x:v>Not Started</x:v>
      </x:c>
      <x:c r="M49" s="70" t="n">
        <x:f>IF(L49="Done",1,IF(L49="In Progress",0.5,IF(L49="Blocked",0.25,0)))</x:f>
        <x:v>0</x:v>
      </x:c>
    </x:row>
    <x:row r="50">
      <x:c r="A50" s="69" t="str">
        <x:v>7.8</x:v>
      </x:c>
      <x:c r="B50" s="69" t="str">
        <x:v>Phase 7: Frontend</x:v>
      </x:c>
      <x:c r="C50" s="69" t="str">
        <x:v>Challenge Result</x:v>
      </x:c>
      <x:c r="D50" s="69" t="str">
        <x:v>Correct/Incorrect結果を表示する。</x:v>
      </x:c>
      <x:c r="E50" s="69" t="str">
        <x:v>Codex</x:v>
      </x:c>
      <x:c r="F50" s="69" t="str">
        <x:v>P0</x:v>
      </x:c>
      <x:c r="G50" s="69" t="str">
        <x:v>7.7</x:v>
      </x:c>
      <x:c r="H50" s="69" t="str">
        <x:v>Challenge result UI</x:v>
      </x:c>
      <x:c r="I50" s="69" t="str">
        <x:v>正誤結果が明確に表示される</x:v>
      </x:c>
      <x:c r="J50" s="69"/>
      <x:c r="K50" s="69"/>
      <x:c r="L50" s="69" t="str">
        <x:v>Not Started</x:v>
      </x:c>
      <x:c r="M50" s="70" t="n">
        <x:f>IF(L50="Done",1,IF(L50="In Progress",0.5,IF(L50="Blocked",0.25,0)))</x:f>
        <x:v>0</x:v>
      </x:c>
    </x:row>
    <x:row r="51">
      <x:c r="A51" s="69" t="str">
        <x:v>7.9</x:v>
      </x:c>
      <x:c r="B51" s="69" t="str">
        <x:v>Phase 7: Frontend</x:v>
      </x:c>
      <x:c r="C51" s="69" t="str">
        <x:v>Hint UI</x:v>
      </x:c>
      <x:c r="D51" s="69" t="str">
        <x:v>3段階Hintを段階表示する。</x:v>
      </x:c>
      <x:c r="E51" s="69" t="str">
        <x:v>Codex</x:v>
      </x:c>
      <x:c r="F51" s="69" t="str">
        <x:v>P1</x:v>
      </x:c>
      <x:c r="G51" s="69" t="str">
        <x:v>3.3,7.7</x:v>
      </x:c>
      <x:c r="H51" s="69" t="str">
        <x:v>Hint UI</x:v>
      </x:c>
      <x:c r="I51" s="69" t="str">
        <x:v>Hintを順に閲覧できる</x:v>
      </x:c>
      <x:c r="J51" s="69"/>
      <x:c r="K51" s="69"/>
      <x:c r="L51" s="69" t="str">
        <x:v>Not Started</x:v>
      </x:c>
      <x:c r="M51" s="70" t="n">
        <x:f>IF(L51="Done",1,IF(L51="In Progress",0.5,IF(L51="Blocked",0.25,0)))</x:f>
        <x:v>0</x:v>
      </x:c>
    </x:row>
    <x:row r="52">
      <x:c r="A52" s="69" t="str">
        <x:v>7.10</x:v>
      </x:c>
      <x:c r="B52" s="69" t="str">
        <x:v>Phase 7: Frontend</x:v>
      </x:c>
      <x:c r="C52" s="69" t="str">
        <x:v>Mission Complete Page</x:v>
      </x:c>
      <x:c r="D52" s="69" t="str">
        <x:v>全Challenge完了後の完了画面を作成する。</x:v>
      </x:c>
      <x:c r="E52" s="69" t="str">
        <x:v>Codex</x:v>
      </x:c>
      <x:c r="F52" s="69" t="str">
        <x:v>P0</x:v>
      </x:c>
      <x:c r="G52" s="69" t="str">
        <x:v>4.5,7.8</x:v>
      </x:c>
      <x:c r="H52" s="69" t="str">
        <x:v>Mission complete UI</x:v>
      </x:c>
      <x:c r="I52" s="69" t="str">
        <x:v>Mission Completeが表示される</x:v>
      </x:c>
      <x:c r="J52" s="69"/>
      <x:c r="K52" s="69"/>
      <x:c r="L52" s="69" t="str">
        <x:v>Not Started</x:v>
      </x:c>
      <x:c r="M52" s="70" t="n">
        <x:f>IF(L52="Done",1,IF(L52="In Progress",0.5,IF(L52="Blocked",0.25,0)))</x:f>
        <x:v>0</x:v>
      </x:c>
    </x:row>
    <x:row r="53">
      <x:c r="A53" s="69" t="str">
        <x:v>8.1</x:v>
      </x:c>
      <x:c r="B53" s="69" t="str">
        <x:v>Phase 8: Mission 01 Content</x:v>
      </x:c>
      <x:c r="C53" s="69" t="str">
        <x:v>Scenario作成</x:v>
      </x:c>
      <x:c r="D53" s="69" t="str">
        <x:v>Web ServerのAttack Surface調査という診断シナリオを作成する。</x:v>
      </x:c>
      <x:c r="E53" s="69" t="str">
        <x:v>ChatGPT / ユーザー</x:v>
      </x:c>
      <x:c r="F53" s="69" t="str">
        <x:v>P1</x:v>
      </x:c>
      <x:c r="G53" s="69" t="str">
        <x:v>1.1</x:v>
      </x:c>
      <x:c r="H53" s="69" t="str">
        <x:v>Mission 01 scenario</x:v>
      </x:c>
      <x:c r="I53" s="69" t="str">
        <x:v>実務を意識したScenarioが定義されている</x:v>
      </x:c>
      <x:c r="J53" s="69"/>
      <x:c r="K53" s="69"/>
      <x:c r="L53" s="69" t="str">
        <x:v>Not Started</x:v>
      </x:c>
      <x:c r="M53" s="70" t="n">
        <x:f>IF(L53="Done",1,IF(L53="In Progress",0.5,IF(L53="Blocked",0.25,0)))</x:f>
        <x:v>0</x:v>
      </x:c>
    </x:row>
    <x:row r="54">
      <x:c r="A54" s="69" t="str">
        <x:v>8.2</x:v>
      </x:c>
      <x:c r="B54" s="69" t="str">
        <x:v>Phase 8: Mission 01 Content</x:v>
      </x:c>
      <x:c r="C54" s="69" t="str">
        <x:v>Challenge 01: Host Discovery</x:v>
      </x:c>
      <x:c r="D54" s="69" t="str">
        <x:v>Targetへの到達性確認Challengeを作成する。</x:v>
      </x:c>
      <x:c r="E54" s="69" t="str">
        <x:v>ChatGPT / Codex</x:v>
      </x:c>
      <x:c r="F54" s="69" t="str">
        <x:v>P1</x:v>
      </x:c>
      <x:c r="G54" s="69" t="str">
        <x:v>5.6,8.1</x:v>
      </x:c>
      <x:c r="H54" s="69" t="str">
        <x:v>Challenge 01 content</x:v>
      </x:c>
      <x:c r="I54" s="69" t="str">
        <x:v>到達性確認の目的と判定条件が定義されている</x:v>
      </x:c>
      <x:c r="J54" s="69"/>
      <x:c r="K54" s="69"/>
      <x:c r="L54" s="69" t="str">
        <x:v>Not Started</x:v>
      </x:c>
      <x:c r="M54" s="70" t="n">
        <x:f>IF(L54="Done",1,IF(L54="In Progress",0.5,IF(L54="Blocked",0.25,0)))</x:f>
        <x:v>0</x:v>
      </x:c>
    </x:row>
    <x:row r="55">
      <x:c r="A55" s="69" t="str">
        <x:v>8.3</x:v>
      </x:c>
      <x:c r="B55" s="69" t="str">
        <x:v>Phase 8: Mission 01 Content</x:v>
      </x:c>
      <x:c r="C55" s="69" t="str">
        <x:v>Challenge 02: Port Scan</x:v>
      </x:c>
      <x:c r="D55" s="69" t="str">
        <x:v>Open Port特定Challengeを作成する。</x:v>
      </x:c>
      <x:c r="E55" s="69" t="str">
        <x:v>ChatGPT / Codex</x:v>
      </x:c>
      <x:c r="F55" s="69" t="str">
        <x:v>P0</x:v>
      </x:c>
      <x:c r="G55" s="69" t="str">
        <x:v>5.7,8.1</x:v>
      </x:c>
      <x:c r="H55" s="69" t="str">
        <x:v>Challenge 02 content</x:v>
      </x:c>
      <x:c r="I55" s="69" t="str">
        <x:v>22/80等のOpen Portを回答できる</x:v>
      </x:c>
      <x:c r="J55" s="69"/>
      <x:c r="K55" s="69"/>
      <x:c r="L55" s="69" t="str">
        <x:v>Not Started</x:v>
      </x:c>
      <x:c r="M55" s="70" t="n">
        <x:f>IF(L55="Done",1,IF(L55="In Progress",0.5,IF(L55="Blocked",0.25,0)))</x:f>
        <x:v>0</x:v>
      </x:c>
    </x:row>
    <x:row r="56">
      <x:c r="A56" s="69" t="str">
        <x:v>8.4</x:v>
      </x:c>
      <x:c r="B56" s="69" t="str">
        <x:v>Phase 8: Mission 01 Content</x:v>
      </x:c>
      <x:c r="C56" s="69" t="str">
        <x:v>Challenge 03: Service Enumeration</x:v>
      </x:c>
      <x:c r="D56" s="69" t="str">
        <x:v>Service特定Challengeを作成する。</x:v>
      </x:c>
      <x:c r="E56" s="69" t="str">
        <x:v>ChatGPT / Codex</x:v>
      </x:c>
      <x:c r="F56" s="69" t="str">
        <x:v>P0</x:v>
      </x:c>
      <x:c r="G56" s="69" t="str">
        <x:v>5.8,8.1</x:v>
      </x:c>
      <x:c r="H56" s="69" t="str">
        <x:v>Challenge 03 content</x:v>
      </x:c>
      <x:c r="I56" s="69" t="str">
        <x:v>HTTP/SSH等を回答できる</x:v>
      </x:c>
      <x:c r="J56" s="69"/>
      <x:c r="K56" s="69"/>
      <x:c r="L56" s="69" t="str">
        <x:v>Not Started</x:v>
      </x:c>
      <x:c r="M56" s="70" t="n">
        <x:f>IF(L56="Done",1,IF(L56="In Progress",0.5,IF(L56="Blocked",0.25,0)))</x:f>
        <x:v>0</x:v>
      </x:c>
    </x:row>
    <x:row r="57">
      <x:c r="A57" s="69" t="str">
        <x:v>8.5</x:v>
      </x:c>
      <x:c r="B57" s="69" t="str">
        <x:v>Phase 8: Mission 01 Content</x:v>
      </x:c>
      <x:c r="C57" s="69" t="str">
        <x:v>Challenge 04: Version Detection</x:v>
      </x:c>
      <x:c r="D57" s="69" t="str">
        <x:v>Service Version確認Challengeを作成する。</x:v>
      </x:c>
      <x:c r="E57" s="69" t="str">
        <x:v>ChatGPT / Codex</x:v>
      </x:c>
      <x:c r="F57" s="69" t="str">
        <x:v>P0</x:v>
      </x:c>
      <x:c r="G57" s="69" t="str">
        <x:v>5.8,8.1</x:v>
      </x:c>
      <x:c r="H57" s="69" t="str">
        <x:v>Challenge 04 content</x:v>
      </x:c>
      <x:c r="I57" s="69" t="str">
        <x:v>想定Version情報を回答できる</x:v>
      </x:c>
      <x:c r="J57" s="69"/>
      <x:c r="K57" s="69"/>
      <x:c r="L57" s="69" t="str">
        <x:v>Not Started</x:v>
      </x:c>
      <x:c r="M57" s="70" t="n">
        <x:f>IF(L57="Done",1,IF(L57="In Progress",0.5,IF(L57="Blocked",0.25,0)))</x:f>
        <x:v>0</x:v>
      </x:c>
    </x:row>
    <x:row r="58">
      <x:c r="A58" s="69" t="str">
        <x:v>8.6</x:v>
      </x:c>
      <x:c r="B58" s="69" t="str">
        <x:v>Phase 8: Mission 01 Content</x:v>
      </x:c>
      <x:c r="C58" s="69" t="str">
        <x:v>Challenge 05: HTTP Inspection</x:v>
      </x:c>
      <x:c r="D58" s="69" t="str">
        <x:v>HTTP ServerのStatus/Header/Title等を調査するChallengeを作成する。</x:v>
      </x:c>
      <x:c r="E58" s="69" t="str">
        <x:v>ChatGPT / Codex</x:v>
      </x:c>
      <x:c r="F58" s="69" t="str">
        <x:v>P0</x:v>
      </x:c>
      <x:c r="G58" s="69" t="str">
        <x:v>5.4,8.1</x:v>
      </x:c>
      <x:c r="H58" s="69" t="str">
        <x:v>Challenge 05 content</x:v>
      </x:c>
      <x:c r="I58" s="69" t="str">
        <x:v>指定Web情報を回答できる</x:v>
      </x:c>
      <x:c r="J58" s="69"/>
      <x:c r="K58" s="69"/>
      <x:c r="L58" s="69" t="str">
        <x:v>Not Started</x:v>
      </x:c>
      <x:c r="M58" s="70" t="n">
        <x:f>IF(L58="Done",1,IF(L58="In Progress",0.5,IF(L58="Blocked",0.25,0)))</x:f>
        <x:v>0</x:v>
      </x:c>
    </x:row>
    <x:row r="59">
      <x:c r="A59" s="69" t="str">
        <x:v>8.7</x:v>
      </x:c>
      <x:c r="B59" s="69" t="str">
        <x:v>Phase 8: Mission 01 Content</x:v>
      </x:c>
      <x:c r="C59" s="69" t="str">
        <x:v>Hint作成</x:v>
      </x:c>
      <x:c r="D59" s="69" t="str">
        <x:v>各Challengeに最大3段階のHintを用意する。</x:v>
      </x:c>
      <x:c r="E59" s="69" t="str">
        <x:v>ChatGPT / ユーザー</x:v>
      </x:c>
      <x:c r="F59" s="69" t="str">
        <x:v>P1</x:v>
      </x:c>
      <x:c r="G59" s="69" t="str">
        <x:v>8.2,8.3,8.4,8.5,8.6</x:v>
      </x:c>
      <x:c r="H59" s="69" t="str">
        <x:v>Mission 01 hints</x:v>
      </x:c>
      <x:c r="I59" s="69" t="str">
        <x:v>考え方→技術→コマンドの段階Hintがある</x:v>
      </x:c>
      <x:c r="J59" s="69"/>
      <x:c r="K59" s="69"/>
      <x:c r="L59" s="69" t="str">
        <x:v>Not Started</x:v>
      </x:c>
      <x:c r="M59" s="70" t="n">
        <x:f>IF(L59="Done",1,IF(L59="In Progress",0.5,IF(L59="Blocked",0.25,0)))</x:f>
        <x:v>0</x:v>
      </x:c>
    </x:row>
    <x:row r="60">
      <x:c r="A60" s="69" t="str">
        <x:v>8.8</x:v>
      </x:c>
      <x:c r="B60" s="69" t="str">
        <x:v>Phase 8: Mission 01 Content</x:v>
      </x:c>
      <x:c r="C60" s="69" t="str">
        <x:v>Learning Explanation作成</x:v>
      </x:c>
      <x:c r="D60" s="69" t="str">
        <x:v>Recon/Enumeration/Nmap/実務利用の解説を作成する。</x:v>
      </x:c>
      <x:c r="E60" s="69" t="str">
        <x:v>ChatGPT / ユーザー</x:v>
      </x:c>
      <x:c r="F60" s="69" t="str">
        <x:v>P1</x:v>
      </x:c>
      <x:c r="G60" s="69" t="str">
        <x:v>8.2,8.3,8.4,8.5,8.6</x:v>
      </x:c>
      <x:c r="H60" s="69" t="str">
        <x:v>Learning explanation</x:v>
      </x:c>
      <x:c r="I60" s="69" t="str">
        <x:v>Mission終了後に学習内容を振り返れる</x:v>
      </x:c>
      <x:c r="J60" s="69"/>
      <x:c r="K60" s="69"/>
      <x:c r="L60" s="69" t="str">
        <x:v>Not Started</x:v>
      </x:c>
      <x:c r="M60" s="70" t="n">
        <x:f>IF(L60="Done",1,IF(L60="In Progress",0.5,IF(L60="Blocked",0.25,0)))</x:f>
        <x:v>0</x:v>
      </x:c>
    </x:row>
    <x:row r="61">
      <x:c r="A61" s="69" t="str">
        <x:v>9.1</x:v>
      </x:c>
      <x:c r="B61" s="69" t="str">
        <x:v>Phase 9: Testing</x:v>
      </x:c>
      <x:c r="C61" s="69" t="str">
        <x:v>Unit Test</x:v>
      </x:c>
      <x:c r="D61" s="69" t="str">
        <x:v>Mission/Challenge/Answer/Progress Logicを単体テストする。</x:v>
      </x:c>
      <x:c r="E61" s="69" t="str">
        <x:v>Codex</x:v>
      </x:c>
      <x:c r="F61" s="69" t="str">
        <x:v>P0</x:v>
      </x:c>
      <x:c r="G61" s="69" t="str">
        <x:v>4.5</x:v>
      </x:c>
      <x:c r="H61" s="69" t="str">
        <x:v>Unit test suite</x:v>
      </x:c>
      <x:c r="I61" s="69" t="str">
        <x:v>主要ロジックのテストが成功する</x:v>
      </x:c>
      <x:c r="J61" s="69"/>
      <x:c r="K61" s="69"/>
      <x:c r="L61" s="69" t="str">
        <x:v>Not Started</x:v>
      </x:c>
      <x:c r="M61" s="70" t="n">
        <x:f>IF(L61="Done",1,IF(L61="In Progress",0.5,IF(L61="Blocked",0.25,0)))</x:f>
        <x:v>0</x:v>
      </x:c>
    </x:row>
    <x:row r="62">
      <x:c r="A62" s="69" t="str">
        <x:v>9.2</x:v>
      </x:c>
      <x:c r="B62" s="69" t="str">
        <x:v>Phase 9: Testing</x:v>
      </x:c>
      <x:c r="C62" s="69" t="str">
        <x:v>Backend API Test</x:v>
      </x:c>
      <x:c r="D62" s="69" t="str">
        <x:v>missions/challenges/labs/progress APIをテストする。</x:v>
      </x:c>
      <x:c r="E62" s="69" t="str">
        <x:v>Codex</x:v>
      </x:c>
      <x:c r="F62" s="69" t="str">
        <x:v>P0</x:v>
      </x:c>
      <x:c r="G62" s="69" t="str">
        <x:v>4.5,6.5</x:v>
      </x:c>
      <x:c r="H62" s="69" t="str">
        <x:v>API test suite</x:v>
      </x:c>
      <x:c r="I62" s="69" t="str">
        <x:v>主要APIの正常/異常系を確認できる</x:v>
      </x:c>
      <x:c r="J62" s="69"/>
      <x:c r="K62" s="69"/>
      <x:c r="L62" s="69" t="str">
        <x:v>Not Started</x:v>
      </x:c>
      <x:c r="M62" s="70" t="n">
        <x:f>IF(L62="Done",1,IF(L62="In Progress",0.5,IF(L62="Blocked",0.25,0)))</x:f>
        <x:v>0</x:v>
      </x:c>
    </x:row>
    <x:row r="63">
      <x:c r="A63" s="69" t="str">
        <x:v>9.3</x:v>
      </x:c>
      <x:c r="B63" s="69" t="str">
        <x:v>Phase 9: Testing</x:v>
      </x:c>
      <x:c r="C63" s="69" t="str">
        <x:v>Lab Integration Test</x:v>
      </x:c>
      <x:c r="D63" s="69" t="str">
        <x:v>Backend→Docker→Attacker→Target連携を確認する。</x:v>
      </x:c>
      <x:c r="E63" s="69" t="str">
        <x:v>Codex / ユーザー</x:v>
      </x:c>
      <x:c r="F63" s="69" t="str">
        <x:v>P0</x:v>
      </x:c>
      <x:c r="G63" s="69" t="str">
        <x:v>6.5</x:v>
      </x:c>
      <x:c r="H63" s="69" t="str">
        <x:v>Lab integration test</x:v>
      </x:c>
      <x:c r="I63" s="69" t="str">
        <x:v>Labの起動・接続・停止が一連で成功する</x:v>
      </x:c>
      <x:c r="J63" s="69"/>
      <x:c r="K63" s="69"/>
      <x:c r="L63" s="69" t="str">
        <x:v>Not Started</x:v>
      </x:c>
      <x:c r="M63" s="70" t="n">
        <x:f>IF(L63="Done",1,IF(L63="In Progress",0.5,IF(L63="Blocked",0.25,0)))</x:f>
        <x:v>0</x:v>
      </x:c>
    </x:row>
    <x:row r="64">
      <x:c r="A64" s="69" t="str">
        <x:v>9.4</x:v>
      </x:c>
      <x:c r="B64" s="69" t="str">
        <x:v>Phase 9: Testing</x:v>
      </x:c>
      <x:c r="C64" s="69" t="str">
        <x:v>Frontend Integration Test</x:v>
      </x:c>
      <x:c r="D64" s="69" t="str">
        <x:v>Frontend→Backend API連携を確認する。</x:v>
      </x:c>
      <x:c r="E64" s="69" t="str">
        <x:v>Codex</x:v>
      </x:c>
      <x:c r="F64" s="69" t="str">
        <x:v>P1</x:v>
      </x:c>
      <x:c r="G64" s="69" t="str">
        <x:v>7.10</x:v>
      </x:c>
      <x:c r="H64" s="69" t="str">
        <x:v>Frontend integration test</x:v>
      </x:c>
      <x:c r="I64" s="69" t="str">
        <x:v>主要画面操作がAPIと連動する</x:v>
      </x:c>
      <x:c r="J64" s="69"/>
      <x:c r="K64" s="69"/>
      <x:c r="L64" s="69" t="str">
        <x:v>Not Started</x:v>
      </x:c>
      <x:c r="M64" s="70" t="n">
        <x:f>IF(L64="Done",1,IF(L64="In Progress",0.5,IF(L64="Blocked",0.25,0)))</x:f>
        <x:v>0</x:v>
      </x:c>
    </x:row>
    <x:row r="65">
      <x:c r="A65" s="69" t="str">
        <x:v>9.5</x:v>
      </x:c>
      <x:c r="B65" s="69" t="str">
        <x:v>Phase 9: Testing</x:v>
      </x:c>
      <x:c r="C65" s="69" t="str">
        <x:v>End-to-End Test</x:v>
      </x:c>
      <x:c r="D65" s="69" t="str">
        <x:v>Mission選択からMission Complete/Stopまで全フローを実施する。</x:v>
      </x:c>
      <x:c r="E65" s="69" t="str">
        <x:v>ユーザー / Codex</x:v>
      </x:c>
      <x:c r="F65" s="69" t="str">
        <x:v>P0</x:v>
      </x:c>
      <x:c r="G65" s="69" t="str">
        <x:v>8.8,9.2,9.3,9.4</x:v>
      </x:c>
      <x:c r="H65" s="69" t="str">
        <x:v>E2E test report</x:v>
      </x:c>
      <x:c r="I65" s="69" t="str">
        <x:v>最初から最後までMission 01をプレイできる</x:v>
      </x:c>
      <x:c r="J65" s="69"/>
      <x:c r="K65" s="69"/>
      <x:c r="L65" s="69" t="str">
        <x:v>Not Started</x:v>
      </x:c>
      <x:c r="M65" s="70" t="n">
        <x:f>IF(L65="Done",1,IF(L65="In Progress",0.5,IF(L65="Blocked",0.25,0)))</x:f>
        <x:v>0</x:v>
      </x:c>
    </x:row>
    <x:row r="66">
      <x:c r="A66" s="69" t="str">
        <x:v>9.6</x:v>
      </x:c>
      <x:c r="B66" s="69" t="str">
        <x:v>Phase 9: Testing</x:v>
      </x:c>
      <x:c r="C66" s="69" t="str">
        <x:v>Reset Test</x:v>
      </x:c>
      <x:c r="D66" s="69" t="str">
        <x:v>Lab Resetで初期状態へ戻ることを確認する。</x:v>
      </x:c>
      <x:c r="E66" s="69" t="str">
        <x:v>ユーザー / Codex</x:v>
      </x:c>
      <x:c r="F66" s="69" t="str">
        <x:v>P0</x:v>
      </x:c>
      <x:c r="G66" s="69" t="str">
        <x:v>6.4,9.3</x:v>
      </x:c>
      <x:c r="H66" s="69" t="str">
        <x:v>Reset test result</x:v>
      </x:c>
      <x:c r="I66" s="69" t="str">
        <x:v>変更後のTargetが既知状態へ復元される</x:v>
      </x:c>
      <x:c r="J66" s="69"/>
      <x:c r="K66" s="69"/>
      <x:c r="L66" s="69" t="str">
        <x:v>Not Started</x:v>
      </x:c>
      <x:c r="M66" s="70" t="n">
        <x:f>IF(L66="Done",1,IF(L66="In Progress",0.5,IF(L66="Blocked",0.25,0)))</x:f>
        <x:v>0</x:v>
      </x:c>
    </x:row>
    <x:row r="67">
      <x:c r="A67" s="69" t="str">
        <x:v>10.1</x:v>
      </x:c>
      <x:c r="B67" s="69" t="str">
        <x:v>Phase 10: Security Assessment</x:v>
      </x:c>
      <x:c r="C67" s="69" t="str">
        <x:v>Host Port確認</x:v>
      </x:c>
      <x:c r="D67" s="69" t="str">
        <x:v>不要なPortがHostへ公開されていないことを確認する。</x:v>
      </x:c>
      <x:c r="E67" s="69" t="str">
        <x:v>ユーザー</x:v>
      </x:c>
      <x:c r="F67" s="69" t="str">
        <x:v>P0</x:v>
      </x:c>
      <x:c r="G67" s="69" t="str">
        <x:v>9.5</x:v>
      </x:c>
      <x:c r="H67" s="69" t="str">
        <x:v>Security evidence</x:v>
      </x:c>
      <x:c r="I67" s="69" t="str">
        <x:v>Host公開Portが必要最小限</x:v>
      </x:c>
      <x:c r="J67" s="69"/>
      <x:c r="K67" s="69"/>
      <x:c r="L67" s="69" t="str">
        <x:v>Not Started</x:v>
      </x:c>
      <x:c r="M67" s="70" t="n">
        <x:f>IF(L67="Done",1,IF(L67="In Progress",0.5,IF(L67="Blocked",0.25,0)))</x:f>
        <x:v>0</x:v>
      </x:c>
    </x:row>
    <x:row r="68">
      <x:c r="A68" s="69" t="str">
        <x:v>10.2</x:v>
      </x:c>
      <x:c r="B68" s="69" t="str">
        <x:v>Phase 10: Security Assessment</x:v>
      </x:c>
      <x:c r="C68" s="69" t="str">
        <x:v>Docker Network確認</x:v>
      </x:c>
      <x:c r="D68" s="69" t="str">
        <x:v>Targetが意図したNetworkのみに所属することを確認する。</x:v>
      </x:c>
      <x:c r="E68" s="69" t="str">
        <x:v>ユーザー</x:v>
      </x:c>
      <x:c r="F68" s="69" t="str">
        <x:v>P0</x:v>
      </x:c>
      <x:c r="G68" s="69" t="str">
        <x:v>9.5</x:v>
      </x:c>
      <x:c r="H68" s="69" t="str">
        <x:v>Network security evidence</x:v>
      </x:c>
      <x:c r="I68" s="69" t="str">
        <x:v>Targetが適切に隔離されている</x:v>
      </x:c>
      <x:c r="J68" s="69"/>
      <x:c r="K68" s="69"/>
      <x:c r="L68" s="69" t="str">
        <x:v>Not Started</x:v>
      </x:c>
      <x:c r="M68" s="70" t="n">
        <x:f>IF(L68="Done",1,IF(L68="In Progress",0.5,IF(L68="Blocked",0.25,0)))</x:f>
        <x:v>0</x:v>
      </x:c>
    </x:row>
    <x:row r="69">
      <x:c r="A69" s="69" t="str">
        <x:v>10.3</x:v>
      </x:c>
      <x:c r="B69" s="69" t="str">
        <x:v>Phase 10: Security Assessment</x:v>
      </x:c>
      <x:c r="C69" s="69" t="str">
        <x:v>Privileged確認</x:v>
      </x:c>
      <x:c r="D69" s="69" t="str">
        <x:v>Target/Attackerがprivileged:trueでないことを確認する。</x:v>
      </x:c>
      <x:c r="E69" s="69" t="str">
        <x:v>ユーザー</x:v>
      </x:c>
      <x:c r="F69" s="69" t="str">
        <x:v>P0</x:v>
      </x:c>
      <x:c r="G69" s="69" t="str">
        <x:v>9.5</x:v>
      </x:c>
      <x:c r="H69" s="69" t="str">
        <x:v>Container privilege evidence</x:v>
      </x:c>
      <x:c r="I69" s="69" t="str">
        <x:v>不要なprivileged権限がない</x:v>
      </x:c>
      <x:c r="J69" s="69"/>
      <x:c r="K69" s="69"/>
      <x:c r="L69" s="69" t="str">
        <x:v>Not Started</x:v>
      </x:c>
      <x:c r="M69" s="70" t="n">
        <x:f>IF(L69="Done",1,IF(L69="In Progress",0.5,IF(L69="Blocked",0.25,0)))</x:f>
        <x:v>0</x:v>
      </x:c>
    </x:row>
    <x:row r="70">
      <x:c r="A70" s="69" t="str">
        <x:v>10.4</x:v>
      </x:c>
      <x:c r="B70" s="69" t="str">
        <x:v>Phase 10: Security Assessment</x:v>
      </x:c>
      <x:c r="C70" s="69" t="str">
        <x:v>Docker Socket確認</x:v>
      </x:c>
      <x:c r="D70" s="69" t="str">
        <x:v>Target/Attackerへdocker.sockがMountされていないことを確認する。</x:v>
      </x:c>
      <x:c r="E70" s="69" t="str">
        <x:v>ユーザー</x:v>
      </x:c>
      <x:c r="F70" s="69" t="str">
        <x:v>P0</x:v>
      </x:c>
      <x:c r="G70" s="69" t="str">
        <x:v>9.5</x:v>
      </x:c>
      <x:c r="H70" s="69" t="str">
        <x:v>Mount evidence</x:v>
      </x:c>
      <x:c r="I70" s="69" t="str">
        <x:v>Docker socketがLabへ露出していない</x:v>
      </x:c>
      <x:c r="J70" s="69"/>
      <x:c r="K70" s="69"/>
      <x:c r="L70" s="69" t="str">
        <x:v>Not Started</x:v>
      </x:c>
      <x:c r="M70" s="70" t="n">
        <x:f>IF(L70="Done",1,IF(L70="In Progress",0.5,IF(L70="Blocked",0.25,0)))</x:f>
        <x:v>0</x:v>
      </x:c>
    </x:row>
    <x:row r="71">
      <x:c r="A71" s="69" t="str">
        <x:v>10.5</x:v>
      </x:c>
      <x:c r="B71" s="69" t="str">
        <x:v>Phase 10: Security Assessment</x:v>
      </x:c>
      <x:c r="C71" s="69" t="str">
        <x:v>Volume確認</x:v>
      </x:c>
      <x:c r="D71" s="69" t="str">
        <x:v>不要なHost Directory Mountがないことを確認する。</x:v>
      </x:c>
      <x:c r="E71" s="69" t="str">
        <x:v>ユーザー</x:v>
      </x:c>
      <x:c r="F71" s="69" t="str">
        <x:v>P0</x:v>
      </x:c>
      <x:c r="G71" s="69" t="str">
        <x:v>9.5</x:v>
      </x:c>
      <x:c r="H71" s="69" t="str">
        <x:v>Volume evidence</x:v>
      </x:c>
      <x:c r="I71" s="69" t="str">
        <x:v>Hostへの不要なFilesystem accessがない</x:v>
      </x:c>
      <x:c r="J71" s="69"/>
      <x:c r="K71" s="69"/>
      <x:c r="L71" s="69" t="str">
        <x:v>Not Started</x:v>
      </x:c>
      <x:c r="M71" s="70" t="n">
        <x:f>IF(L71="Done",1,IF(L71="In Progress",0.5,IF(L71="Blocked",0.25,0)))</x:f>
        <x:v>0</x:v>
      </x:c>
    </x:row>
    <x:row r="72">
      <x:c r="A72" s="69" t="str">
        <x:v>10.6</x:v>
      </x:c>
      <x:c r="B72" s="69" t="str">
        <x:v>Phase 10: Security Assessment</x:v>
      </x:c>
      <x:c r="C72" s="69" t="str">
        <x:v>Internet Exposure確認</x:v>
      </x:c>
      <x:c r="D72" s="69" t="str">
        <x:v>外部からTargetへ直接接続できないことを確認する。</x:v>
      </x:c>
      <x:c r="E72" s="69" t="str">
        <x:v>ユーザー</x:v>
      </x:c>
      <x:c r="F72" s="69" t="str">
        <x:v>P0</x:v>
      </x:c>
      <x:c r="G72" s="69" t="str">
        <x:v>9.5</x:v>
      </x:c>
      <x:c r="H72" s="69" t="str">
        <x:v>Exposure test result</x:v>
      </x:c>
      <x:c r="I72" s="69" t="str">
        <x:v>TargetがInternet公開されていない</x:v>
      </x:c>
      <x:c r="J72" s="69"/>
      <x:c r="K72" s="69"/>
      <x:c r="L72" s="69" t="str">
        <x:v>Not Started</x:v>
      </x:c>
      <x:c r="M72" s="70" t="n">
        <x:f>IF(L72="Done",1,IF(L72="In Progress",0.5,IF(L72="Blocked",0.25,0)))</x:f>
        <x:v>0</x:v>
      </x:c>
    </x:row>
    <x:row r="73">
      <x:c r="A73" s="69" t="str">
        <x:v>10.7</x:v>
      </x:c>
      <x:c r="B73" s="69" t="str">
        <x:v>Phase 10: Security Assessment</x:v>
      </x:c>
      <x:c r="C73" s="69" t="str">
        <x:v>Secret Scan</x:v>
      </x:c>
      <x:c r="D73" s="69" t="str">
        <x:v>RepositoryにPassword/Token/API Key/Secretがないことを確認する。</x:v>
      </x:c>
      <x:c r="E73" s="69" t="str">
        <x:v>ユーザー / Codex</x:v>
      </x:c>
      <x:c r="F73" s="69" t="str">
        <x:v>P0</x:v>
      </x:c>
      <x:c r="G73" s="69" t="str">
        <x:v>9.5</x:v>
      </x:c>
      <x:c r="H73" s="69" t="str">
        <x:v>Secret scan result</x:v>
      </x:c>
      <x:c r="I73" s="69" t="str">
        <x:v>実秘密情報がCommitされていない</x:v>
      </x:c>
      <x:c r="J73" s="69"/>
      <x:c r="K73" s="69"/>
      <x:c r="L73" s="69" t="str">
        <x:v>Not Started</x:v>
      </x:c>
      <x:c r="M73" s="70" t="n">
        <x:f>IF(L73="Done",1,IF(L73="In Progress",0.5,IF(L73="Blocked",0.25,0)))</x:f>
        <x:v>0</x:v>
      </x:c>
    </x:row>
    <x:row r="74">
      <x:c r="A74" s="69" t="str">
        <x:v>11.1</x:v>
      </x:c>
      <x:c r="B74" s="69" t="str">
        <x:v>Phase 11: Documentation</x:v>
      </x:c>
      <x:c r="C74" s="69" t="str">
        <x:v>README</x:v>
      </x:c>
      <x:c r="D74" s="69" t="str">
        <x:v>概要/Architecture/Requirements/Setup/Start/Stop/Play/Security Warningを整備する。</x:v>
      </x:c>
      <x:c r="E74" s="69" t="str">
        <x:v>Codex / ユーザー</x:v>
      </x:c>
      <x:c r="F74" s="69" t="str">
        <x:v>P0</x:v>
      </x:c>
      <x:c r="G74" s="69" t="str">
        <x:v>9.5,10.7</x:v>
      </x:c>
      <x:c r="H74" s="69" t="str">
        <x:v>README.md</x:v>
      </x:c>
      <x:c r="I74" s="69" t="str">
        <x:v>第三者が構成・起動・遊び方を理解できる</x:v>
      </x:c>
      <x:c r="J74" s="69"/>
      <x:c r="K74" s="69"/>
      <x:c r="L74" s="69" t="str">
        <x:v>Not Started</x:v>
      </x:c>
      <x:c r="M74" s="70" t="n">
        <x:f>IF(L74="Done",1,IF(L74="In Progress",0.5,IF(L74="Blocked",0.25,0)))</x:f>
        <x:v>0</x:v>
      </x:c>
    </x:row>
    <x:row r="75">
      <x:c r="A75" s="69" t="str">
        <x:v>11.2</x:v>
      </x:c>
      <x:c r="B75" s="69" t="str">
        <x:v>Phase 11: Documentation</x:v>
      </x:c>
      <x:c r="C75" s="69" t="str">
        <x:v>Architecture Document更新</x:v>
      </x:c>
      <x:c r="D75" s="69" t="str">
        <x:v>実装結果に合わせてArchitecture文書を更新する。</x:v>
      </x:c>
      <x:c r="E75" s="69" t="str">
        <x:v>ChatGPT / Work</x:v>
      </x:c>
      <x:c r="F75" s="69" t="str">
        <x:v>P1</x:v>
      </x:c>
      <x:c r="G75" s="69" t="str">
        <x:v>9.5</x:v>
      </x:c>
      <x:c r="H75" s="69" t="str">
        <x:v>Updated architecture doc</x:v>
      </x:c>
      <x:c r="I75" s="69" t="str">
        <x:v>実装と文書に乖離がない</x:v>
      </x:c>
      <x:c r="J75" s="69"/>
      <x:c r="K75" s="69"/>
      <x:c r="L75" s="69" t="str">
        <x:v>Not Started</x:v>
      </x:c>
      <x:c r="M75" s="70" t="n">
        <x:f>IF(L75="Done",1,IF(L75="In Progress",0.5,IF(L75="Blocked",0.25,0)))</x:f>
        <x:v>0</x:v>
      </x:c>
    </x:row>
    <x:row r="76">
      <x:c r="A76" s="69" t="str">
        <x:v>11.3</x:v>
      </x:c>
      <x:c r="B76" s="69" t="str">
        <x:v>Phase 11: Documentation</x:v>
      </x:c>
      <x:c r="C76" s="69" t="str">
        <x:v>Security Document更新</x:v>
      </x:c>
      <x:c r="D76" s="69" t="str">
        <x:v>最終的なDocker隔離・制約を文書化する。</x:v>
      </x:c>
      <x:c r="E76" s="69" t="str">
        <x:v>ChatGPT / Work</x:v>
      </x:c>
      <x:c r="F76" s="69" t="str">
        <x:v>P0</x:v>
      </x:c>
      <x:c r="G76" s="69" t="str">
        <x:v>10.7</x:v>
      </x:c>
      <x:c r="H76" s="69" t="str">
        <x:v>Updated security doc</x:v>
      </x:c>
      <x:c r="I76" s="69" t="str">
        <x:v>Security Assessment結果が反映されている</x:v>
      </x:c>
      <x:c r="J76" s="69"/>
      <x:c r="K76" s="69"/>
      <x:c r="L76" s="69" t="str">
        <x:v>Not Started</x:v>
      </x:c>
      <x:c r="M76" s="70" t="n">
        <x:f>IF(L76="Done",1,IF(L76="In Progress",0.5,IF(L76="Blocked",0.25,0)))</x:f>
        <x:v>0</x:v>
      </x:c>
    </x:row>
    <x:row r="77">
      <x:c r="A77" s="69" t="str">
        <x:v>11.4</x:v>
      </x:c>
      <x:c r="B77" s="69" t="str">
        <x:v>Phase 11: Documentation</x:v>
      </x:c>
      <x:c r="C77" s="69" t="str">
        <x:v>Test Report</x:v>
      </x:c>
      <x:c r="D77" s="69" t="str">
        <x:v>実施テストと結果を記録する。</x:v>
      </x:c>
      <x:c r="E77" s="69" t="str">
        <x:v>ユーザー / Codex</x:v>
      </x:c>
      <x:c r="F77" s="69" t="str">
        <x:v>P0</x:v>
      </x:c>
      <x:c r="G77" s="69" t="str">
        <x:v>9.6</x:v>
      </x:c>
      <x:c r="H77" s="69" t="str">
        <x:v>Test report</x:v>
      </x:c>
      <x:c r="I77" s="69" t="str">
        <x:v>主要Testの結果とEvidenceが記録されている</x:v>
      </x:c>
      <x:c r="J77" s="69"/>
      <x:c r="K77" s="69"/>
      <x:c r="L77" s="69" t="str">
        <x:v>Not Started</x:v>
      </x:c>
      <x:c r="M77" s="70" t="n">
        <x:f>IF(L77="Done",1,IF(L77="In Progress",0.5,IF(L77="Blocked",0.25,0)))</x:f>
        <x:v>0</x:v>
      </x:c>
    </x:row>
    <x:row r="78">
      <x:c r="A78" s="69" t="str">
        <x:v>11.5</x:v>
      </x:c>
      <x:c r="B78" s="69" t="str">
        <x:v>Phase 11: Documentation</x:v>
      </x:c>
      <x:c r="C78" s="69" t="str">
        <x:v>Development Log</x:v>
      </x:c>
      <x:c r="D78" s="69" t="str">
        <x:v>判断・問題・解決・学習を記録する。</x:v>
      </x:c>
      <x:c r="E78" s="69" t="str">
        <x:v>ユーザー / ChatGPT</x:v>
      </x:c>
      <x:c r="F78" s="69" t="str">
        <x:v>P1</x:v>
      </x:c>
      <x:c r="G78" s="69" t="str">
        <x:v>0.1</x:v>
      </x:c>
      <x:c r="H78" s="69" t="str">
        <x:v>Development log</x:v>
      </x:c>
      <x:c r="I78" s="69" t="str">
        <x:v>ポートフォリオで開発プロセスを説明できる</x:v>
      </x:c>
      <x:c r="J78" s="69"/>
      <x:c r="K78" s="69"/>
      <x:c r="L78" s="69" t="str">
        <x:v>Not Started</x:v>
      </x:c>
      <x:c r="M78" s="70" t="n">
        <x:f>IF(L78="Done",1,IF(L78="In Progress",0.5,IF(L78="Blocked",0.25,0)))</x:f>
        <x:v>0</x:v>
      </x:c>
    </x:row>
    <x:row r="79">
      <x:c r="A79" s="69" t="str">
        <x:v>12.1</x:v>
      </x:c>
      <x:c r="B79" s="69" t="str">
        <x:v>Phase 12: MVP Acceptance</x:v>
      </x:c>
      <x:c r="C79" s="69" t="str">
        <x:v>MVP Acceptance Review</x:v>
      </x:c>
      <x:c r="D79" s="69" t="str">
        <x:v>v0.1受入基準を全件確認し、MVP完成判定を行う。</x:v>
      </x:c>
      <x:c r="E79" s="69" t="str">
        <x:v>ユーザー / ChatGPT</x:v>
      </x:c>
      <x:c r="F79" s="69" t="str">
        <x:v>P0</x:v>
      </x:c>
      <x:c r="G79" s="69" t="str">
        <x:v>11.1,11.2,11.3,11.4</x:v>
      </x:c>
      <x:c r="H79" s="69" t="str">
        <x:v>MVP acceptance record</x:v>
      </x:c>
      <x:c r="I79" s="69" t="str">
        <x:v>全必須Acceptance Criteriaを満たす</x:v>
      </x:c>
      <x:c r="J79" s="69"/>
      <x:c r="K79" s="69"/>
      <x:c r="L79" s="69" t="str">
        <x:v>Not Started</x:v>
      </x:c>
      <x:c r="M79" s="70" t="n">
        <x:f>IF(L79="Done",1,IF(L79="In Progress",0.5,IF(L79="Blocked",0.25,0)))</x:f>
        <x:v>0</x:v>
      </x:c>
    </x:row>
  </x:sheetData>
  <x:mergeCells>
    <x:mergeCell ref="A1:M1"/>
  </x:mergeCells>
  <x:conditionalFormatting sqref="L4:L79">
    <x:cfRule type="expression" dxfId="0" priority="1">
      <x:formula>L4="Done"</x:formula>
    </x:cfRule>
    <x:cfRule type="expression" dxfId="1" priority="2">
      <x:formula>L4="In Progress"</x:formula>
    </x:cfRule>
    <x:cfRule type="expression" dxfId="2" priority="3">
      <x:formula>L4="Blocked"</x:formula>
    </x:cfRule>
  </x:conditionalFormatting>
  <x:conditionalFormatting sqref="F4:F79">
    <x:cfRule type="expression" dxfId="3" priority="4">
      <x:formula>F4="P0"</x:formula>
    </x:cfRule>
    <x:cfRule type="expression" dxfId="4" priority="5">
      <x:formula>F4="P1"</x:formula>
    </x:cfRule>
  </x:conditionalFormatting>
  <x:conditionalFormatting sqref="M4:M79">
    <x:cfRule type="dataBar" priority="6">
      <x:dataBar>
        <x:cfvo type="min"/>
        <x:cfvo type="max"/>
        <x:color rgb="FF2B7A78"/>
      </x:dataBar>
      <x:extLst>
        <x:ext xmlns:x14="http://schemas.microsoft.com/office/spreadsheetml/2009/9/main" uri="{B025F937-C7B1-47D3-B67F-A62EFF666E3E}">
          <x14:id>{FE1454F9-B3F9-8F5A-EF39-0B2762DF56FA}</x14:id>
        </x:ext>
      </x:extLst>
    </x:cfRule>
  </x:conditionalFormatting>
  <x:dataValidations count="2">
    <x:dataValidation type="list" sqref="L4:L79">
      <x:formula1>"Not Started,In Progress,Blocked,Done"</x:formula1>
    </x:dataValidation>
    <x:dataValidation type="list" sqref="F4:F7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56173529584eec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6" id="{FE1454F9-B3F9-8F5A-EF39-0B2762DF56FA}">
            <x14:dataBar gradient="1">
              <x14:cfvo type="min"/>
              <x14:cfvo type="max"/>
              <x14:fillColor rgb="FF2B7A78"/>
            </x14:dataBar>
          </x14:cfRule>
          <xm:sqref>M4:M79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2" hidden="0" customWidth="1"/>
    <x:col min="3" max="3" width="42" hidden="0" customWidth="1"/>
    <x:col min="4" max="4" width="15" hidden="0" customWidth="1"/>
    <x:col min="5" max="5" width="10" hidden="0" customWidth="1"/>
    <x:col min="6" max="6" width="30" hidden="0" customWidth="1"/>
    <x:col min="7" max="7" width="20" hidden="0" customWidth="1"/>
    <x:col min="8" max="8" width="42" hidden="0" customWidth="1"/>
    <x:col min="9" max="9" width="15" hidden="0" customWidth="1"/>
    <x:col min="10" max="10" width="12" hidden="0" customWidth="1"/>
  </x:cols>
  <x:sheetData>
    <x:row r="1" ht="30" customHeight="1">
      <x:c r="A1" s="10" t="str">
        <x:v>OffSec Lab v0.1 — Codex Issue Backlog</x:v>
      </x:c>
    </x:row>
    <x:row r="3" ht="28" customHeight="1">
      <x:c r="A3" s="74" t="str">
        <x:v>Issue ID</x:v>
      </x:c>
      <x:c r="B3" s="74" t="str">
        <x:v>Issue</x:v>
      </x:c>
      <x:c r="C3" s="74" t="str">
        <x:v>実装目的 / Scope</x:v>
      </x:c>
      <x:c r="D3" s="74" t="str">
        <x:v>Phase</x:v>
      </x:c>
      <x:c r="E3" s="74" t="str">
        <x:v>Priority</x:v>
      </x:c>
      <x:c r="F3" s="74" t="str">
        <x:v>Depends On</x:v>
      </x:c>
      <x:c r="G3" s="74" t="str">
        <x:v>Owner</x:v>
      </x:c>
      <x:c r="H3" s="74" t="str">
        <x:v>Acceptance Criteria</x:v>
      </x:c>
      <x:c r="I3" s="74" t="str">
        <x:v>Status</x:v>
      </x:c>
      <x:c r="J3" s="74" t="str">
        <x:v>Progress</x:v>
      </x:c>
    </x:row>
    <x:row r="4">
      <x:c r="A4" s="69" t="str">
        <x:v>ISSUE-001</x:v>
      </x:c>
      <x:c r="B4" s="69" t="str">
        <x:v>Project Scaffold</x:v>
      </x:c>
      <x:c r="C4" s="69" t="str">
        <x:v>初期Repository構成・ディレクトリ・主要ファイル作成</x:v>
      </x:c>
      <x:c r="D4" s="69" t="str">
        <x:v>Phase 0</x:v>
      </x:c>
      <x:c r="E4" s="69" t="str">
        <x:v>P0</x:v>
      </x:c>
      <x:c r="F4" s="69" t="str"/>
      <x:c r="G4" s="69" t="str">
        <x:v>Codex</x:v>
      </x:c>
      <x:c r="H4" s="69" t="str">
        <x:v>基本ディレクトリと主要ファイルが存在する</x:v>
      </x:c>
      <x:c r="I4" s="69" t="str">
        <x:v>Not Started</x:v>
      </x:c>
      <x:c r="J4" s="70" t="n">
        <x:f>IF(I4="Done",1,IF(I4="In Progress",0.5,IF(I4="Blocked",0.25,0)))</x:f>
        <x:v>0</x:v>
      </x:c>
    </x:row>
    <x:row r="5">
      <x:c r="A5" s="69" t="str">
        <x:v>ISSUE-002</x:v>
      </x:c>
      <x:c r="B5" s="69" t="str">
        <x:v>Docker Development Environment</x:v>
      </x:c>
      <x:c r="C5" s="69" t="str">
        <x:v>Frontend/Backend/DBのCompose開発環境</x:v>
      </x:c>
      <x:c r="D5" s="69" t="str">
        <x:v>Phase 2</x:v>
      </x:c>
      <x:c r="E5" s="69" t="str">
        <x:v>P0</x:v>
      </x:c>
      <x:c r="F5" s="69" t="str">
        <x:v>ISSUE-001</x:v>
      </x:c>
      <x:c r="G5" s="69" t="str">
        <x:v>Codex</x:v>
      </x:c>
      <x:c r="H5" s="69" t="str">
        <x:v>docker compose upで基盤が起動する</x:v>
      </x:c>
      <x:c r="I5" s="69" t="str">
        <x:v>Not Started</x:v>
      </x:c>
      <x:c r="J5" s="70" t="n">
        <x:f>IF(I5="Done",1,IF(I5="In Progress",0.5,IF(I5="Blocked",0.25,0)))</x:f>
        <x:v>0</x:v>
      </x:c>
    </x:row>
    <x:row r="6">
      <x:c r="A6" s="69" t="str">
        <x:v>ISSUE-003</x:v>
      </x:c>
      <x:c r="B6" s="69" t="str">
        <x:v>FastAPI Backend Foundation</x:v>
      </x:c>
      <x:c r="C6" s="69" t="str">
        <x:v>FastAPI基盤とhealth endpoint</x:v>
      </x:c>
      <x:c r="D6" s="69" t="str">
        <x:v>Phase 2</x:v>
      </x:c>
      <x:c r="E6" s="69" t="str">
        <x:v>P0</x:v>
      </x:c>
      <x:c r="F6" s="69" t="str">
        <x:v>ISSUE-002</x:v>
      </x:c>
      <x:c r="G6" s="69" t="str">
        <x:v>Codex</x:v>
      </x:c>
      <x:c r="H6" s="69" t="str">
        <x:v>GET /healthが200を返す</x:v>
      </x:c>
      <x:c r="I6" s="69" t="str">
        <x:v>Not Started</x:v>
      </x:c>
      <x:c r="J6" s="70" t="n">
        <x:f>IF(I6="Done",1,IF(I6="In Progress",0.5,IF(I6="Blocked",0.25,0)))</x:f>
        <x:v>0</x:v>
      </x:c>
    </x:row>
    <x:row r="7">
      <x:c r="A7" s="69" t="str">
        <x:v>ISSUE-004</x:v>
      </x:c>
      <x:c r="B7" s="69" t="str">
        <x:v>PostgreSQL Database Foundation</x:v>
      </x:c>
      <x:c r="C7" s="69" t="str">
        <x:v>PostgreSQLとBackend接続</x:v>
      </x:c>
      <x:c r="D7" s="69" t="str">
        <x:v>Phase 2</x:v>
      </x:c>
      <x:c r="E7" s="69" t="str">
        <x:v>P1</x:v>
      </x:c>
      <x:c r="F7" s="69" t="str">
        <x:v>ISSUE-002,ISSUE-003</x:v>
      </x:c>
      <x:c r="G7" s="69" t="str">
        <x:v>Codex</x:v>
      </x:c>
      <x:c r="H7" s="69" t="str">
        <x:v>BackendからDBへ接続できる</x:v>
      </x:c>
      <x:c r="I7" s="69" t="str">
        <x:v>Not Started</x:v>
      </x:c>
      <x:c r="J7" s="70" t="n">
        <x:f>IF(I7="Done",1,IF(I7="In Progress",0.5,IF(I7="Blocked",0.25,0)))</x:f>
        <x:v>0</x:v>
      </x:c>
    </x:row>
    <x:row r="8">
      <x:c r="A8" s="69" t="str">
        <x:v>ISSUE-005</x:v>
      </x:c>
      <x:c r="B8" s="69" t="str">
        <x:v>Mission / Challenge Data Model</x:v>
      </x:c>
      <x:c r="C8" s="69" t="str">
        <x:v>Mission/Challenge/Hint/Progress ModelとMigration</x:v>
      </x:c>
      <x:c r="D8" s="69" t="str">
        <x:v>Phase 3</x:v>
      </x:c>
      <x:c r="E8" s="69" t="str">
        <x:v>P0</x:v>
      </x:c>
      <x:c r="F8" s="69" t="str">
        <x:v>ISSUE-003,ISSUE-004</x:v>
      </x:c>
      <x:c r="G8" s="69" t="str">
        <x:v>Codex</x:v>
      </x:c>
      <x:c r="H8" s="69" t="str">
        <x:v>Schemaを再現できる</x:v>
      </x:c>
      <x:c r="I8" s="69" t="str">
        <x:v>Not Started</x:v>
      </x:c>
      <x:c r="J8" s="70" t="n">
        <x:f>IF(I8="Done",1,IF(I8="In Progress",0.5,IF(I8="Blocked",0.25,0)))</x:f>
        <x:v>0</x:v>
      </x:c>
    </x:row>
    <x:row r="9">
      <x:c r="A9" s="69" t="str">
        <x:v>ISSUE-006</x:v>
      </x:c>
      <x:c r="B9" s="69" t="str">
        <x:v>Mission API</x:v>
      </x:c>
      <x:c r="C9" s="69" t="str">
        <x:v>Mission List/Detail API</x:v>
      </x:c>
      <x:c r="D9" s="69" t="str">
        <x:v>Phase 4</x:v>
      </x:c>
      <x:c r="E9" s="69" t="str">
        <x:v>P0</x:v>
      </x:c>
      <x:c r="F9" s="69" t="str">
        <x:v>ISSUE-005</x:v>
      </x:c>
      <x:c r="G9" s="69" t="str">
        <x:v>Codex</x:v>
      </x:c>
      <x:c r="H9" s="69" t="str">
        <x:v>Mission一覧・詳細を取得できる</x:v>
      </x:c>
      <x:c r="I9" s="69" t="str">
        <x:v>Not Started</x:v>
      </x:c>
      <x:c r="J9" s="70" t="n">
        <x:f>IF(I9="Done",1,IF(I9="In Progress",0.5,IF(I9="Blocked",0.25,0)))</x:f>
        <x:v>0</x:v>
      </x:c>
    </x:row>
    <x:row r="10">
      <x:c r="A10" s="69" t="str">
        <x:v>ISSUE-007</x:v>
      </x:c>
      <x:c r="B10" s="69" t="str">
        <x:v>Challenge Answer API</x:v>
      </x:c>
      <x:c r="C10" s="69" t="str">
        <x:v>Challenge回答・正誤判定</x:v>
      </x:c>
      <x:c r="D10" s="69" t="str">
        <x:v>Phase 4</x:v>
      </x:c>
      <x:c r="E10" s="69" t="str">
        <x:v>P0</x:v>
      </x:c>
      <x:c r="F10" s="69" t="str">
        <x:v>ISSUE-005</x:v>
      </x:c>
      <x:c r="G10" s="69" t="str">
        <x:v>Codex</x:v>
      </x:c>
      <x:c r="H10" s="69" t="str">
        <x:v>回答に対して正誤を返す</x:v>
      </x:c>
      <x:c r="I10" s="69" t="str">
        <x:v>Not Started</x:v>
      </x:c>
      <x:c r="J10" s="70" t="n">
        <x:f>IF(I10="Done",1,IF(I10="In Progress",0.5,IF(I10="Blocked",0.25,0)))</x:f>
        <x:v>0</x:v>
      </x:c>
    </x:row>
    <x:row r="11">
      <x:c r="A11" s="69" t="str">
        <x:v>ISSUE-008</x:v>
      </x:c>
      <x:c r="B11" s="69" t="str">
        <x:v>Progress Management</x:v>
      </x:c>
      <x:c r="C11" s="69" t="str">
        <x:v>Challenge/Mission進捗管理</x:v>
      </x:c>
      <x:c r="D11" s="69" t="str">
        <x:v>Phase 4</x:v>
      </x:c>
      <x:c r="E11" s="69" t="str">
        <x:v>P0</x:v>
      </x:c>
      <x:c r="F11" s="69" t="str">
        <x:v>ISSUE-005,ISSUE-007</x:v>
      </x:c>
      <x:c r="G11" s="69" t="str">
        <x:v>Codex</x:v>
      </x:c>
      <x:c r="H11" s="69" t="str">
        <x:v>進捗保存・取得ができる</x:v>
      </x:c>
      <x:c r="I11" s="69" t="str">
        <x:v>Not Started</x:v>
      </x:c>
      <x:c r="J11" s="70" t="n">
        <x:f>IF(I11="Done",1,IF(I11="In Progress",0.5,IF(I11="Blocked",0.25,0)))</x:f>
        <x:v>0</x:v>
      </x:c>
    </x:row>
    <x:row r="12">
      <x:c r="A12" s="69" t="str">
        <x:v>ISSUE-009</x:v>
      </x:c>
      <x:c r="B12" s="69" t="str">
        <x:v>Mission 01 Docker Network</x:v>
      </x:c>
      <x:c r="C12" s="69" t="str">
        <x:v>Mission用隔離Network</x:v>
      </x:c>
      <x:c r="D12" s="69" t="str">
        <x:v>Phase 5</x:v>
      </x:c>
      <x:c r="E12" s="69" t="str">
        <x:v>P0</x:v>
      </x:c>
      <x:c r="F12" s="69" t="str">
        <x:v>ISSUE-002</x:v>
      </x:c>
      <x:c r="G12" s="69" t="str">
        <x:v>Codex</x:v>
      </x:c>
      <x:c r="H12" s="69" t="str">
        <x:v>Targetが外部公開されない隔離Networkがある</x:v>
      </x:c>
      <x:c r="I12" s="69" t="str">
        <x:v>Not Started</x:v>
      </x:c>
      <x:c r="J12" s="70" t="n">
        <x:f>IF(I12="Done",1,IF(I12="In Progress",0.5,IF(I12="Blocked",0.25,0)))</x:f>
        <x:v>0</x:v>
      </x:c>
    </x:row>
    <x:row r="13">
      <x:c r="A13" s="69" t="str">
        <x:v>ISSUE-010</x:v>
      </x:c>
      <x:c r="B13" s="69" t="str">
        <x:v>Attacker Container</x:v>
      </x:c>
      <x:c r="C13" s="69" t="str">
        <x:v>ping/nmap/curlを備えたAttacker</x:v>
      </x:c>
      <x:c r="D13" s="69" t="str">
        <x:v>Phase 5</x:v>
      </x:c>
      <x:c r="E13" s="69" t="str">
        <x:v>P0</x:v>
      </x:c>
      <x:c r="F13" s="69" t="str">
        <x:v>ISSUE-009</x:v>
      </x:c>
      <x:c r="G13" s="69" t="str">
        <x:v>Codex</x:v>
      </x:c>
      <x:c r="H13" s="69" t="str">
        <x:v>必要ツールを実行できる</x:v>
      </x:c>
      <x:c r="I13" s="69" t="str">
        <x:v>Not Started</x:v>
      </x:c>
      <x:c r="J13" s="70" t="n">
        <x:f>IF(I13="Done",1,IF(I13="In Progress",0.5,IF(I13="Blocked",0.25,0)))</x:f>
        <x:v>0</x:v>
      </x:c>
    </x:row>
    <x:row r="14">
      <x:c r="A14" s="69" t="str">
        <x:v>ISSUE-011</x:v>
      </x:c>
      <x:c r="B14" s="69" t="str">
        <x:v>Mission 01 Target Container</x:v>
      </x:c>
      <x:c r="C14" s="69" t="str">
        <x:v>SSH/HTTPを備えたTarget</x:v>
      </x:c>
      <x:c r="D14" s="69" t="str">
        <x:v>Phase 5</x:v>
      </x:c>
      <x:c r="E14" s="69" t="str">
        <x:v>P0</x:v>
      </x:c>
      <x:c r="F14" s="69" t="str">
        <x:v>ISSUE-009</x:v>
      </x:c>
      <x:c r="G14" s="69" t="str">
        <x:v>Codex</x:v>
      </x:c>
      <x:c r="H14" s="69" t="str">
        <x:v>22/80が意図通り稼働する</x:v>
      </x:c>
      <x:c r="I14" s="69" t="str">
        <x:v>Not Started</x:v>
      </x:c>
      <x:c r="J14" s="70" t="n">
        <x:f>IF(I14="Done",1,IF(I14="In Progress",0.5,IF(I14="Blocked",0.25,0)))</x:f>
        <x:v>0</x:v>
      </x:c>
    </x:row>
    <x:row r="15">
      <x:c r="A15" s="69" t="str">
        <x:v>ISSUE-012</x:v>
      </x:c>
      <x:c r="B15" s="69" t="str">
        <x:v>Lab Controller — Start</x:v>
      </x:c>
      <x:c r="C15" s="69" t="str">
        <x:v>Lab Start処理</x:v>
      </x:c>
      <x:c r="D15" s="69" t="str">
        <x:v>Phase 6</x:v>
      </x:c>
      <x:c r="E15" s="69" t="str">
        <x:v>P0</x:v>
      </x:c>
      <x:c r="F15" s="69" t="str">
        <x:v>ISSUE-009,ISSUE-010,ISSUE-011</x:v>
      </x:c>
      <x:c r="G15" s="69" t="str">
        <x:v>Codex</x:v>
      </x:c>
      <x:c r="H15" s="69" t="str">
        <x:v>Start APIでLabがRUNNINGになる</x:v>
      </x:c>
      <x:c r="I15" s="69" t="str">
        <x:v>Not Started</x:v>
      </x:c>
      <x:c r="J15" s="70" t="n">
        <x:f>IF(I15="Done",1,IF(I15="In Progress",0.5,IF(I15="Blocked",0.25,0)))</x:f>
        <x:v>0</x:v>
      </x:c>
    </x:row>
    <x:row r="16">
      <x:c r="A16" s="69" t="str">
        <x:v>ISSUE-013</x:v>
      </x:c>
      <x:c r="B16" s="69" t="str">
        <x:v>Lab Controller — Stop / Reset</x:v>
      </x:c>
      <x:c r="C16" s="69" t="str">
        <x:v>Lab Stop/Reset処理</x:v>
      </x:c>
      <x:c r="D16" s="69" t="str">
        <x:v>Phase 6</x:v>
      </x:c>
      <x:c r="E16" s="69" t="str">
        <x:v>P0</x:v>
      </x:c>
      <x:c r="F16" s="69" t="str">
        <x:v>ISSUE-012</x:v>
      </x:c>
      <x:c r="G16" s="69" t="str">
        <x:v>Codex</x:v>
      </x:c>
      <x:c r="H16" s="69" t="str">
        <x:v>Stop/Resetが正常に完了する</x:v>
      </x:c>
      <x:c r="I16" s="69" t="str">
        <x:v>Not Started</x:v>
      </x:c>
      <x:c r="J16" s="70" t="n">
        <x:f>IF(I16="Done",1,IF(I16="In Progress",0.5,IF(I16="Blocked",0.25,0)))</x:f>
        <x:v>0</x:v>
      </x:c>
    </x:row>
    <x:row r="17">
      <x:c r="A17" s="69" t="str">
        <x:v>ISSUE-014</x:v>
      </x:c>
      <x:c r="B17" s="69" t="str">
        <x:v>Lab Status API</x:v>
      </x:c>
      <x:c r="C17" s="69" t="str">
        <x:v>Lab状態取得API</x:v>
      </x:c>
      <x:c r="D17" s="69" t="str">
        <x:v>Phase 6</x:v>
      </x:c>
      <x:c r="E17" s="69" t="str">
        <x:v>P0</x:v>
      </x:c>
      <x:c r="F17" s="69" t="str">
        <x:v>ISSUE-012</x:v>
      </x:c>
      <x:c r="G17" s="69" t="str">
        <x:v>Codex</x:v>
      </x:c>
      <x:c r="H17" s="69" t="str">
        <x:v>STOPPED〜ERRORを取得できる</x:v>
      </x:c>
      <x:c r="I17" s="69" t="str">
        <x:v>Not Started</x:v>
      </x:c>
      <x:c r="J17" s="70" t="n">
        <x:f>IF(I17="Done",1,IF(I17="In Progress",0.5,IF(I17="Blocked",0.25,0)))</x:f>
        <x:v>0</x:v>
      </x:c>
    </x:row>
    <x:row r="18">
      <x:c r="A18" s="69" t="str">
        <x:v>ISSUE-015</x:v>
      </x:c>
      <x:c r="B18" s="69" t="str">
        <x:v>Next.js Frontend Foundation</x:v>
      </x:c>
      <x:c r="C18" s="69" t="str">
        <x:v>Next.js/TypeScript基盤</x:v>
      </x:c>
      <x:c r="D18" s="69" t="str">
        <x:v>Phase 7</x:v>
      </x:c>
      <x:c r="E18" s="69" t="str">
        <x:v>P0</x:v>
      </x:c>
      <x:c r="F18" s="69" t="str">
        <x:v>ISSUE-002</x:v>
      </x:c>
      <x:c r="G18" s="69" t="str">
        <x:v>Codex</x:v>
      </x:c>
      <x:c r="H18" s="69" t="str">
        <x:v>Top Pageへアクセスできる</x:v>
      </x:c>
      <x:c r="I18" s="69" t="str">
        <x:v>Not Started</x:v>
      </x:c>
      <x:c r="J18" s="70" t="n">
        <x:f>IF(I18="Done",1,IF(I18="In Progress",0.5,IF(I18="Blocked",0.25,0)))</x:f>
        <x:v>0</x:v>
      </x:c>
    </x:row>
    <x:row r="19">
      <x:c r="A19" s="69" t="str">
        <x:v>ISSUE-016</x:v>
      </x:c>
      <x:c r="B19" s="69" t="str">
        <x:v>Mission List UI</x:v>
      </x:c>
      <x:c r="C19" s="69" t="str">
        <x:v>Mission一覧画面</x:v>
      </x:c>
      <x:c r="D19" s="69" t="str">
        <x:v>Phase 7</x:v>
      </x:c>
      <x:c r="E19" s="69" t="str">
        <x:v>P0</x:v>
      </x:c>
      <x:c r="F19" s="69" t="str">
        <x:v>ISSUE-006,ISSUE-015</x:v>
      </x:c>
      <x:c r="G19" s="69" t="str">
        <x:v>Codex</x:v>
      </x:c>
      <x:c r="H19" s="69" t="str">
        <x:v>Mission 01を選択できる</x:v>
      </x:c>
      <x:c r="I19" s="69" t="str">
        <x:v>Not Started</x:v>
      </x:c>
      <x:c r="J19" s="70" t="n">
        <x:f>IF(I19="Done",1,IF(I19="In Progress",0.5,IF(I19="Blocked",0.25,0)))</x:f>
        <x:v>0</x:v>
      </x:c>
    </x:row>
    <x:row r="20">
      <x:c r="A20" s="69" t="str">
        <x:v>ISSUE-017</x:v>
      </x:c>
      <x:c r="B20" s="69" t="str">
        <x:v>Mission Detail UI</x:v>
      </x:c>
      <x:c r="C20" s="69" t="str">
        <x:v>Mission詳細画面</x:v>
      </x:c>
      <x:c r="D20" s="69" t="str">
        <x:v>Phase 7</x:v>
      </x:c>
      <x:c r="E20" s="69" t="str">
        <x:v>P0</x:v>
      </x:c>
      <x:c r="F20" s="69" t="str">
        <x:v>ISSUE-006,ISSUE-016</x:v>
      </x:c>
      <x:c r="G20" s="69" t="str">
        <x:v>Codex</x:v>
      </x:c>
      <x:c r="H20" s="69" t="str">
        <x:v>Scenario/Challengeを確認できる</x:v>
      </x:c>
      <x:c r="I20" s="69" t="str">
        <x:v>Not Started</x:v>
      </x:c>
      <x:c r="J20" s="70" t="n">
        <x:f>IF(I20="Done",1,IF(I20="In Progress",0.5,IF(I20="Blocked",0.25,0)))</x:f>
        <x:v>0</x:v>
      </x:c>
    </x:row>
    <x:row r="21">
      <x:c r="A21" s="69" t="str">
        <x:v>ISSUE-018</x:v>
      </x:c>
      <x:c r="B21" s="69" t="str">
        <x:v>Lab Control UI</x:v>
      </x:c>
      <x:c r="C21" s="69" t="str">
        <x:v>Start/Stop/Reset UI</x:v>
      </x:c>
      <x:c r="D21" s="69" t="str">
        <x:v>Phase 7</x:v>
      </x:c>
      <x:c r="E21" s="69" t="str">
        <x:v>P0</x:v>
      </x:c>
      <x:c r="F21" s="69" t="str">
        <x:v>ISSUE-012,ISSUE-013,ISSUE-014,ISSUE-017</x:v>
      </x:c>
      <x:c r="G21" s="69" t="str">
        <x:v>Codex</x:v>
      </x:c>
      <x:c r="H21" s="69" t="str">
        <x:v>UIからLab操作できる</x:v>
      </x:c>
      <x:c r="I21" s="69" t="str">
        <x:v>Not Started</x:v>
      </x:c>
      <x:c r="J21" s="70" t="n">
        <x:f>IF(I21="Done",1,IF(I21="In Progress",0.5,IF(I21="Blocked",0.25,0)))</x:f>
        <x:v>0</x:v>
      </x:c>
    </x:row>
    <x:row r="22">
      <x:c r="A22" s="69" t="str">
        <x:v>ISSUE-019</x:v>
      </x:c>
      <x:c r="B22" s="69" t="str">
        <x:v>Challenge UI</x:v>
      </x:c>
      <x:c r="C22" s="69" t="str">
        <x:v>回答入力・送信・結果表示</x:v>
      </x:c>
      <x:c r="D22" s="69" t="str">
        <x:v>Phase 7</x:v>
      </x:c>
      <x:c r="E22" s="69" t="str">
        <x:v>P0</x:v>
      </x:c>
      <x:c r="F22" s="69" t="str">
        <x:v>ISSUE-007,ISSUE-017</x:v>
      </x:c>
      <x:c r="G22" s="69" t="str">
        <x:v>Codex</x:v>
      </x:c>
      <x:c r="H22" s="69" t="str">
        <x:v>Challengeを回答できる</x:v>
      </x:c>
      <x:c r="I22" s="69" t="str">
        <x:v>Not Started</x:v>
      </x:c>
      <x:c r="J22" s="70" t="n">
        <x:f>IF(I22="Done",1,IF(I22="In Progress",0.5,IF(I22="Blocked",0.25,0)))</x:f>
        <x:v>0</x:v>
      </x:c>
    </x:row>
    <x:row r="23">
      <x:c r="A23" s="69" t="str">
        <x:v>ISSUE-020</x:v>
      </x:c>
      <x:c r="B23" s="69" t="str">
        <x:v>Hint UI</x:v>
      </x:c>
      <x:c r="C23" s="69" t="str">
        <x:v>段階Hint表示</x:v>
      </x:c>
      <x:c r="D23" s="69" t="str">
        <x:v>Phase 7</x:v>
      </x:c>
      <x:c r="E23" s="69" t="str">
        <x:v>P1</x:v>
      </x:c>
      <x:c r="F23" s="69" t="str">
        <x:v>ISSUE-005,ISSUE-019</x:v>
      </x:c>
      <x:c r="G23" s="69" t="str">
        <x:v>Codex</x:v>
      </x:c>
      <x:c r="H23" s="69" t="str">
        <x:v>Hintを段階表示できる</x:v>
      </x:c>
      <x:c r="I23" s="69" t="str">
        <x:v>Not Started</x:v>
      </x:c>
      <x:c r="J23" s="70" t="n">
        <x:f>IF(I23="Done",1,IF(I23="In Progress",0.5,IF(I23="Blocked",0.25,0)))</x:f>
        <x:v>0</x:v>
      </x:c>
    </x:row>
    <x:row r="24">
      <x:c r="A24" s="69" t="str">
        <x:v>ISSUE-021</x:v>
      </x:c>
      <x:c r="B24" s="69" t="str">
        <x:v>Mission Complete UI</x:v>
      </x:c>
      <x:c r="C24" s="69" t="str">
        <x:v>Mission完了表示</x:v>
      </x:c>
      <x:c r="D24" s="69" t="str">
        <x:v>Phase 7</x:v>
      </x:c>
      <x:c r="E24" s="69" t="str">
        <x:v>P0</x:v>
      </x:c>
      <x:c r="F24" s="69" t="str">
        <x:v>ISSUE-008,ISSUE-019</x:v>
      </x:c>
      <x:c r="G24" s="69" t="str">
        <x:v>Codex</x:v>
      </x:c>
      <x:c r="H24" s="69" t="str">
        <x:v>全Challenge完了で完了画面を表示</x:v>
      </x:c>
      <x:c r="I24" s="69" t="str">
        <x:v>Not Started</x:v>
      </x:c>
      <x:c r="J24" s="70" t="n">
        <x:f>IF(I24="Done",1,IF(I24="In Progress",0.5,IF(I24="Blocked",0.25,0)))</x:f>
        <x:v>0</x:v>
      </x:c>
    </x:row>
    <x:row r="25">
      <x:c r="A25" s="69" t="str">
        <x:v>ISSUE-022</x:v>
      </x:c>
      <x:c r="B25" s="69" t="str">
        <x:v>Mission 01 Content</x:v>
      </x:c>
      <x:c r="C25" s="69" t="str">
        <x:v>Scenario/5 Challenge/Hint/Learning Explanation</x:v>
      </x:c>
      <x:c r="D25" s="69" t="str">
        <x:v>Phase 8</x:v>
      </x:c>
      <x:c r="E25" s="69" t="str">
        <x:v>P0</x:v>
      </x:c>
      <x:c r="F25" s="69" t="str">
        <x:v>ISSUE-010,ISSUE-011,ISSUE-019</x:v>
      </x:c>
      <x:c r="G25" s="69" t="str">
        <x:v>ChatGPT / Codex</x:v>
      </x:c>
      <x:c r="H25" s="69" t="str">
        <x:v>Mission 01を一通り遊べる</x:v>
      </x:c>
      <x:c r="I25" s="69" t="str">
        <x:v>Not Started</x:v>
      </x:c>
      <x:c r="J25" s="70" t="n">
        <x:f>IF(I25="Done",1,IF(I25="In Progress",0.5,IF(I25="Blocked",0.25,0)))</x:f>
        <x:v>0</x:v>
      </x:c>
    </x:row>
    <x:row r="26">
      <x:c r="A26" s="69" t="str">
        <x:v>ISSUE-023</x:v>
      </x:c>
      <x:c r="B26" s="69" t="str">
        <x:v>Backend Tests</x:v>
      </x:c>
      <x:c r="C26" s="69" t="str">
        <x:v>Backend Unit/API tests</x:v>
      </x:c>
      <x:c r="D26" s="69" t="str">
        <x:v>Phase 9</x:v>
      </x:c>
      <x:c r="E26" s="69" t="str">
        <x:v>P0</x:v>
      </x:c>
      <x:c r="F26" s="69" t="str">
        <x:v>ISSUE-008,ISSUE-014</x:v>
      </x:c>
      <x:c r="G26" s="69" t="str">
        <x:v>Codex</x:v>
      </x:c>
      <x:c r="H26" s="69" t="str">
        <x:v>主要Backend testsが成功する</x:v>
      </x:c>
      <x:c r="I26" s="69" t="str">
        <x:v>Not Started</x:v>
      </x:c>
      <x:c r="J26" s="70" t="n">
        <x:f>IF(I26="Done",1,IF(I26="In Progress",0.5,IF(I26="Blocked",0.25,0)))</x:f>
        <x:v>0</x:v>
      </x:c>
    </x:row>
    <x:row r="27">
      <x:c r="A27" s="69" t="str">
        <x:v>ISSUE-024</x:v>
      </x:c>
      <x:c r="B27" s="69" t="str">
        <x:v>Lab Integration Tests</x:v>
      </x:c>
      <x:c r="C27" s="69" t="str">
        <x:v>Backend→Docker→Attacker→Target tests</x:v>
      </x:c>
      <x:c r="D27" s="69" t="str">
        <x:v>Phase 9</x:v>
      </x:c>
      <x:c r="E27" s="69" t="str">
        <x:v>P0</x:v>
      </x:c>
      <x:c r="F27" s="69" t="str">
        <x:v>ISSUE-013,ISSUE-014</x:v>
      </x:c>
      <x:c r="G27" s="69" t="str">
        <x:v>Codex</x:v>
      </x:c>
      <x:c r="H27" s="69" t="str">
        <x:v>Lab連携Testが成功する</x:v>
      </x:c>
      <x:c r="I27" s="69" t="str">
        <x:v>Not Started</x:v>
      </x:c>
      <x:c r="J27" s="70" t="n">
        <x:f>IF(I27="Done",1,IF(I27="In Progress",0.5,IF(I27="Blocked",0.25,0)))</x:f>
        <x:v>0</x:v>
      </x:c>
    </x:row>
    <x:row r="28">
      <x:c r="A28" s="69" t="str">
        <x:v>ISSUE-025</x:v>
      </x:c>
      <x:c r="B28" s="69" t="str">
        <x:v>Frontend Tests</x:v>
      </x:c>
      <x:c r="C28" s="69" t="str">
        <x:v>Frontend integration tests</x:v>
      </x:c>
      <x:c r="D28" s="69" t="str">
        <x:v>Phase 9</x:v>
      </x:c>
      <x:c r="E28" s="69" t="str">
        <x:v>P1</x:v>
      </x:c>
      <x:c r="F28" s="69" t="str">
        <x:v>ISSUE-021</x:v>
      </x:c>
      <x:c r="G28" s="69" t="str">
        <x:v>Codex</x:v>
      </x:c>
      <x:c r="H28" s="69" t="str">
        <x:v>主要UI/API連携Testが成功する</x:v>
      </x:c>
      <x:c r="I28" s="69" t="str">
        <x:v>Not Started</x:v>
      </x:c>
      <x:c r="J28" s="70" t="n">
        <x:f>IF(I28="Done",1,IF(I28="In Progress",0.5,IF(I28="Blocked",0.25,0)))</x:f>
        <x:v>0</x:v>
      </x:c>
    </x:row>
    <x:row r="29">
      <x:c r="A29" s="69" t="str">
        <x:v>ISSUE-026</x:v>
      </x:c>
      <x:c r="B29" s="69" t="str">
        <x:v>End-to-End Test</x:v>
      </x:c>
      <x:c r="C29" s="69" t="str">
        <x:v>Mission開始〜完了〜停止のE2E</x:v>
      </x:c>
      <x:c r="D29" s="69" t="str">
        <x:v>Phase 9</x:v>
      </x:c>
      <x:c r="E29" s="69" t="str">
        <x:v>P0</x:v>
      </x:c>
      <x:c r="F29" s="69" t="str">
        <x:v>ISSUE-022,ISSUE-023,ISSUE-024,ISSUE-025</x:v>
      </x:c>
      <x:c r="G29" s="69" t="str">
        <x:v>ユーザー / Codex</x:v>
      </x:c>
      <x:c r="H29" s="69" t="str">
        <x:v>全プレイフローが成功する</x:v>
      </x:c>
      <x:c r="I29" s="69" t="str">
        <x:v>Not Started</x:v>
      </x:c>
      <x:c r="J29" s="70" t="n">
        <x:f>IF(I29="Done",1,IF(I29="In Progress",0.5,IF(I29="Blocked",0.25,0)))</x:f>
        <x:v>0</x:v>
      </x:c>
    </x:row>
    <x:row r="30">
      <x:c r="A30" s="69" t="str">
        <x:v>ISSUE-027</x:v>
      </x:c>
      <x:c r="B30" s="69" t="str">
        <x:v>Security Assessment</x:v>
      </x:c>
      <x:c r="C30" s="69" t="str">
        <x:v>Network/Port/Privilege/Socket/Secret確認</x:v>
      </x:c>
      <x:c r="D30" s="69" t="str">
        <x:v>Phase 10</x:v>
      </x:c>
      <x:c r="E30" s="69" t="str">
        <x:v>P0</x:v>
      </x:c>
      <x:c r="F30" s="69" t="str">
        <x:v>ISSUE-026</x:v>
      </x:c>
      <x:c r="G30" s="69" t="str">
        <x:v>ユーザー</x:v>
      </x:c>
      <x:c r="H30" s="69" t="str">
        <x:v>重大な隔離不備がない</x:v>
      </x:c>
      <x:c r="I30" s="69" t="str">
        <x:v>Not Started</x:v>
      </x:c>
      <x:c r="J30" s="70" t="n">
        <x:f>IF(I30="Done",1,IF(I30="In Progress",0.5,IF(I30="Blocked",0.25,0)))</x:f>
        <x:v>0</x:v>
      </x:c>
    </x:row>
    <x:row r="31">
      <x:c r="A31" s="69" t="str">
        <x:v>ISSUE-028</x:v>
      </x:c>
      <x:c r="B31" s="69" t="str">
        <x:v>README / Documentation</x:v>
      </x:c>
      <x:c r="C31" s="69" t="str">
        <x:v>README/Architecture/Security/Test文書を整備</x:v>
      </x:c>
      <x:c r="D31" s="69" t="str">
        <x:v>Phase 11</x:v>
      </x:c>
      <x:c r="E31" s="69" t="str">
        <x:v>P0</x:v>
      </x:c>
      <x:c r="F31" s="69" t="str">
        <x:v>ISSUE-026,ISSUE-027</x:v>
      </x:c>
      <x:c r="G31" s="69" t="str">
        <x:v>Codex / ユーザー</x:v>
      </x:c>
      <x:c r="H31" s="69" t="str">
        <x:v>第三者が構築・理解できる</x:v>
      </x:c>
      <x:c r="I31" s="69" t="str">
        <x:v>Not Started</x:v>
      </x:c>
      <x:c r="J31" s="70" t="n">
        <x:f>IF(I31="Done",1,IF(I31="In Progress",0.5,IF(I31="Blocked",0.25,0)))</x:f>
        <x:v>0</x:v>
      </x:c>
    </x:row>
    <x:row r="32">
      <x:c r="A32" s="69" t="str">
        <x:v>ISSUE-029</x:v>
      </x:c>
      <x:c r="B32" s="69" t="str">
        <x:v>MVP Acceptance Review</x:v>
      </x:c>
      <x:c r="C32" s="69" t="str">
        <x:v>MVP受入基準の最終判定</x:v>
      </x:c>
      <x:c r="D32" s="69" t="str">
        <x:v>Phase 12</x:v>
      </x:c>
      <x:c r="E32" s="69" t="str">
        <x:v>P0</x:v>
      </x:c>
      <x:c r="F32" s="69" t="str">
        <x:v>ISSUE-028</x:v>
      </x:c>
      <x:c r="G32" s="69" t="str">
        <x:v>ユーザー / ChatGPT</x:v>
      </x:c>
      <x:c r="H32" s="69" t="str">
        <x:v>全MVP必須要件を満たす</x:v>
      </x:c>
      <x:c r="I32" s="69" t="str">
        <x:v>Not Started</x:v>
      </x:c>
      <x:c r="J32" s="70" t="n">
        <x:f>IF(I32="Done",1,IF(I32="In Progress",0.5,IF(I32="Blocked",0.25,0)))</x:f>
        <x:v>0</x:v>
      </x:c>
    </x:row>
  </x:sheetData>
  <x:mergeCells>
    <x:mergeCell ref="A1:J1"/>
  </x:mergeCells>
  <x:conditionalFormatting sqref="I4:I32">
    <x:cfRule type="expression" dxfId="5" priority="1">
      <x:formula>I4="Done"</x:formula>
    </x:cfRule>
    <x:cfRule type="expression" dxfId="6" priority="2">
      <x:formula>I4="In Progress"</x:formula>
    </x:cfRule>
    <x:cfRule type="expression" dxfId="7" priority="3">
      <x:formula>I4="Blocked"</x:formula>
    </x:cfRule>
  </x:conditionalFormatting>
  <x:conditionalFormatting sqref="J4:J32">
    <x:cfRule type="dataBar" priority="4">
      <x:dataBar>
        <x:cfvo type="min"/>
        <x:cfvo type="max"/>
        <x:color rgb="FF245B8A"/>
      </x:dataBar>
      <x:extLst>
        <x:ext xmlns:x14="http://schemas.microsoft.com/office/spreadsheetml/2009/9/main" uri="{B025F937-C7B1-47D3-B67F-A62EFF666E3E}">
          <x14:id>{DD10834D-725A-72C3-FE05-4238684D9FA3}</x14:id>
        </x:ext>
      </x:extLst>
    </x:cfRule>
  </x:conditionalFormatting>
  <x:dataValidations count="2">
    <x:dataValidation type="list" sqref="I4:I32">
      <x:formula1>"Not Started,In Progress,Blocked,Done"</x:formula1>
    </x:dataValidation>
    <x:dataValidation type="list" sqref="E4:E3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382fd0ebff4ae7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DD10834D-725A-72C3-FE05-4238684D9FA3}">
            <x14:dataBar gradient="1">
              <x14:cfvo type="min"/>
              <x14:cfvo type="max"/>
              <x14:fillColor rgb="FF245B8A"/>
            </x14:dataBar>
          </x14:cfRule>
          <xm:sqref>J4:J32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42" hidden="0" customWidth="1"/>
    <x:col min="4" max="4" width="18" hidden="0" customWidth="1"/>
    <x:col min="5" max="5" width="42" hidden="0" customWidth="1"/>
    <x:col min="6" max="6" width="15" hidden="0" customWidth="1"/>
    <x:col min="7" max="7" width="30" hidden="0" customWidth="1"/>
  </x:cols>
  <x:sheetData>
    <x:row r="1" ht="30" customHeight="1">
      <x:c r="A1" s="10" t="str">
        <x:v>OffSec Lab v0.1 — Milestones</x:v>
      </x:c>
    </x:row>
    <x:row r="3" ht="28" customHeight="1">
      <x:c r="A3" s="68" t="str">
        <x:v>ID</x:v>
      </x:c>
      <x:c r="B3" s="68" t="str">
        <x:v>Milestone</x:v>
      </x:c>
      <x:c r="C3" s="68" t="str">
        <x:v>Definition</x:v>
      </x:c>
      <x:c r="D3" s="68" t="str">
        <x:v>Related Phase</x:v>
      </x:c>
      <x:c r="E3" s="68" t="str">
        <x:v>Exit Criteria</x:v>
      </x:c>
      <x:c r="F3" s="68" t="str">
        <x:v>Status</x:v>
      </x:c>
      <x:c r="G3" s="68" t="str">
        <x:v>Notes</x:v>
      </x:c>
    </x:row>
    <x:row r="4">
      <x:c r="A4" s="69" t="str">
        <x:v>M1</x:v>
      </x:c>
      <x:c r="B4" s="69" t="str">
        <x:v>企画・要件確定</x:v>
      </x:c>
      <x:c r="C4" s="69" t="str">
        <x:v>企画書・MVP要件定義・WBSが確定</x:v>
      </x:c>
      <x:c r="D4" s="69" t="str">
        <x:v>Phase 0-1</x:v>
      </x:c>
      <x:c r="E4" s="69" t="str">
        <x:v>基本設計着手可能な状態</x:v>
      </x:c>
      <x:c r="F4" s="69" t="str">
        <x:v>Not Started</x:v>
      </x:c>
      <x:c r="G4" s="69" t="str"/>
    </x:row>
    <x:row r="5">
      <x:c r="A5" s="69" t="str">
        <x:v>M2</x:v>
      </x:c>
      <x:c r="B5" s="69" t="str">
        <x:v>基本設計完了</x:v>
      </x:c>
      <x:c r="C5" s="69" t="str">
        <x:v>Architecture/Backend/DB/Lab/Security基本設計が確定</x:v>
      </x:c>
      <x:c r="D5" s="69" t="str">
        <x:v>Phase 1</x:v>
      </x:c>
      <x:c r="E5" s="69" t="str">
        <x:v>実装Issueを安全に開始できる</x:v>
      </x:c>
      <x:c r="F5" s="69" t="str">
        <x:v>Not Started</x:v>
      </x:c>
      <x:c r="G5" s="69" t="str"/>
    </x:row>
    <x:row r="6">
      <x:c r="A6" s="69" t="str">
        <x:v>M3</x:v>
      </x:c>
      <x:c r="B6" s="69" t="str">
        <x:v>Platform Foundation</x:v>
      </x:c>
      <x:c r="C6" s="69" t="str">
        <x:v>Frontend/Backend/DB基盤が起動</x:v>
      </x:c>
      <x:c r="D6" s="69" t="str">
        <x:v>Phase 2-4</x:v>
      </x:c>
      <x:c r="E6" s="69" t="str">
        <x:v>Mission APIとChallenge判定の基盤が動作</x:v>
      </x:c>
      <x:c r="F6" s="69" t="str">
        <x:v>Not Started</x:v>
      </x:c>
      <x:c r="G6" s="69" t="str"/>
    </x:row>
    <x:row r="7">
      <x:c r="A7" s="69" t="str">
        <x:v>M4</x:v>
      </x:c>
      <x:c r="B7" s="69" t="str">
        <x:v>First Lab Running</x:v>
      </x:c>
      <x:c r="C7" s="69" t="str">
        <x:v>Attacker/Target/Network/Lab Controllerが動作</x:v>
      </x:c>
      <x:c r="D7" s="69" t="str">
        <x:v>Phase 5-6</x:v>
      </x:c>
      <x:c r="E7" s="69" t="str">
        <x:v>Start→Nmap→Stop/Resetが可能</x:v>
      </x:c>
      <x:c r="F7" s="69" t="str">
        <x:v>Not Started</x:v>
      </x:c>
      <x:c r="G7" s="69" t="str"/>
    </x:row>
    <x:row r="8">
      <x:c r="A8" s="69" t="str">
        <x:v>M5</x:v>
      </x:c>
      <x:c r="B8" s="69" t="str">
        <x:v>First Playable</x:v>
      </x:c>
      <x:c r="C8" s="69" t="str">
        <x:v>Web UIからMission 01を最初から最後までプレイ可能</x:v>
      </x:c>
      <x:c r="D8" s="69" t="str">
        <x:v>Phase 7-8</x:v>
      </x:c>
      <x:c r="E8" s="69" t="str">
        <x:v>Mission Completeまで到達可能</x:v>
      </x:c>
      <x:c r="F8" s="69" t="str">
        <x:v>Not Started</x:v>
      </x:c>
      <x:c r="G8" s="69" t="str"/>
    </x:row>
    <x:row r="9">
      <x:c r="A9" s="69" t="str">
        <x:v>M6</x:v>
      </x:c>
      <x:c r="B9" s="69" t="str">
        <x:v>Testing Complete</x:v>
      </x:c>
      <x:c r="C9" s="69" t="str">
        <x:v>Unit/API/Integration/E2E/Reset Test完了</x:v>
      </x:c>
      <x:c r="D9" s="69" t="str">
        <x:v>Phase 9</x:v>
      </x:c>
      <x:c r="E9" s="69" t="str">
        <x:v>主要Testが記録済み</x:v>
      </x:c>
      <x:c r="F9" s="69" t="str">
        <x:v>Not Started</x:v>
      </x:c>
      <x:c r="G9" s="69" t="str"/>
    </x:row>
    <x:row r="10">
      <x:c r="A10" s="69" t="str">
        <x:v>M7</x:v>
      </x:c>
      <x:c r="B10" s="69" t="str">
        <x:v>Security Review Complete</x:v>
      </x:c>
      <x:c r="C10" s="69" t="str">
        <x:v>隔離・Privilege・Secrets等のAssessment完了</x:v>
      </x:c>
      <x:c r="D10" s="69" t="str">
        <x:v>Phase 10</x:v>
      </x:c>
      <x:c r="E10" s="69" t="str">
        <x:v>重大なSecurity不備なし</x:v>
      </x:c>
      <x:c r="F10" s="69" t="str">
        <x:v>Not Started</x:v>
      </x:c>
      <x:c r="G10" s="69" t="str"/>
    </x:row>
    <x:row r="11">
      <x:c r="A11" s="69" t="str">
        <x:v>M8</x:v>
      </x:c>
      <x:c r="B11" s="69" t="str">
        <x:v>OffSec Lab v0.1 MVP</x:v>
      </x:c>
      <x:c r="C11" s="69" t="str">
        <x:v>DocumentationとAcceptance Review完了</x:v>
      </x:c>
      <x:c r="D11" s="69" t="str">
        <x:v>Phase 11-12</x:v>
      </x:c>
      <x:c r="E11" s="69" t="str">
        <x:v>v0.1 MVP Complete</x:v>
      </x:c>
      <x:c r="F11" s="69" t="str">
        <x:v>Not Started</x:v>
      </x:c>
      <x:c r="G11" s="69" t="str"/>
    </x:row>
  </x:sheetData>
  <x:mergeCells>
    <x:mergeCell ref="A1:G1"/>
  </x:mergeCells>
  <x:conditionalFormatting sqref="F4:F11">
    <x:cfRule type="expression" dxfId="8" priority="1">
      <x:formula>F4="Done"</x:formula>
    </x:cfRule>
    <x:cfRule type="expression" dxfId="9" priority="2">
      <x:formula>F4="In Progress"</x:formula>
    </x:cfRule>
    <x:cfRule type="expression" dxfId="10" priority="3">
      <x:formula>F4="Blocked"</x:formula>
    </x:cfRule>
  </x:conditionalFormatting>
  <x:dataValidations count="1">
    <x:dataValidation type="list" sqref="F4:F11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194cb7a496460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5" max="5" width="50" hidden="0" customWidth="1"/>
  </x:cols>
  <x:sheetData>
    <x:row r="1">
      <x:c r="A1" s="4" t="str">
        <x:v>Status</x:v>
      </x:c>
      <x:c r="B1" s="4" t="str">
        <x:v>Priority</x:v>
      </x:c>
      <x:c r="C1" s="4" t="str">
        <x:v>Owner</x:v>
      </x:c>
      <x:c r="E1" s="8" t="str">
        <x:v>※ Masterシートは入力候補リスト用です。通常は編集不要です。</x:v>
      </x:c>
    </x:row>
    <x:row r="2">
      <x:c r="A2" t="str">
        <x:v>Not Started</x:v>
      </x:c>
      <x:c r="B2" t="str">
        <x:v>P0</x:v>
      </x:c>
      <x:c r="C2" t="str">
        <x:v>ユーザー</x:v>
      </x:c>
    </x:row>
    <x:row r="3">
      <x:c r="A3" t="str">
        <x:v>In Progress</x:v>
      </x:c>
      <x:c r="B3" t="str">
        <x:v>P1</x:v>
      </x:c>
      <x:c r="C3" t="str">
        <x:v>Codex</x:v>
      </x:c>
    </x:row>
    <x:row r="4">
      <x:c r="A4" t="str">
        <x:v>Blocked</x:v>
      </x:c>
      <x:c r="B4" t="str">
        <x:v>P2</x:v>
      </x:c>
      <x:c r="C4" t="str">
        <x:v>ChatGPT</x:v>
      </x:c>
    </x:row>
    <x:row r="5">
      <x:c r="A5" t="str">
        <x:v>Done</x:v>
      </x:c>
      <x:c r="C5" t="str">
        <x:v>ChatGPT / Work</x:v>
      </x:c>
    </x:row>
    <x:row r="6">
      <x:c r="C6" t="str">
        <x:v>ChatGPT / ユーザー</x:v>
      </x:c>
    </x:row>
    <x:row r="7">
      <x:c r="C7" t="str">
        <x:v>ユーザー / ChatGPT</x:v>
      </x:c>
    </x:row>
    <x:row r="8">
      <x:c r="C8" t="str">
        <x:v>Codex / ユーザー</x:v>
      </x:c>
    </x:row>
    <x:row r="9">
      <x:c r="C9" t="str">
        <x:v>ユーザー / Codex</x:v>
      </x:c>
    </x:row>
    <x:row r="10">
      <x:c r="C10" t="str">
        <x:v>ChatGPT / Codex</x:v>
      </x:c>
    </x:row>
    <x:row r="11">
      <x:c r="C11" t="str">
        <x:v>Codex / ChatGPT</x:v>
      </x:c>
    </x:row>
  </x:sheetData>
  <x:pageMargins left="0.7" right="0.7" top="0.75" bottom="0.75" header="0.3" footer="0.3"/>
</x:worksheet>
</file>