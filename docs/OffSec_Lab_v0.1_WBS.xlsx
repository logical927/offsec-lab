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C_User\Desktop\OffSec Lab\docs\"/>
    </mc:Choice>
  </mc:AlternateContent>
  <xr:revisionPtr revIDLastSave="0" documentId="13_ncr:1_{9F9C485A-4832-4F6F-BB2D-9E77499C3447}" xr6:coauthVersionLast="47" xr6:coauthVersionMax="47" xr10:uidLastSave="{00000000-0000-0000-0000-000000000000}"/>
  <bookViews>
    <workbookView xWindow="-30075" yWindow="3330" windowWidth="28800" windowHeight="11295" activeTab="2" xr2:uid="{00000000-000D-0000-FFFF-FFFF00000000}"/>
  </bookViews>
  <sheets>
    <sheet name="Summary" sheetId="1" r:id="rId1"/>
    <sheet name="WBS" sheetId="2" r:id="rId2"/>
    <sheet name="Codex Issues" sheetId="3" r:id="rId3"/>
    <sheet name="Milestones" sheetId="4" r:id="rId4"/>
    <sheet name="Maste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2" i="3" l="1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C24" i="1"/>
  <c r="B24" i="1"/>
  <c r="D24" i="1" s="1"/>
  <c r="C23" i="1"/>
  <c r="B23" i="1"/>
  <c r="D23" i="1" s="1"/>
  <c r="C22" i="1"/>
  <c r="B22" i="1"/>
  <c r="D22" i="1" s="1"/>
  <c r="C21" i="1"/>
  <c r="B21" i="1"/>
  <c r="D21" i="1" s="1"/>
  <c r="C20" i="1"/>
  <c r="B20" i="1"/>
  <c r="D20" i="1" s="1"/>
  <c r="C19" i="1"/>
  <c r="B19" i="1"/>
  <c r="D19" i="1" s="1"/>
  <c r="C18" i="1"/>
  <c r="B18" i="1"/>
  <c r="D18" i="1" s="1"/>
  <c r="C17" i="1"/>
  <c r="B17" i="1"/>
  <c r="D17" i="1" s="1"/>
  <c r="G16" i="1"/>
  <c r="C16" i="1"/>
  <c r="B16" i="1"/>
  <c r="D16" i="1" s="1"/>
  <c r="G15" i="1"/>
  <c r="C15" i="1"/>
  <c r="B15" i="1"/>
  <c r="D15" i="1" s="1"/>
  <c r="H14" i="1"/>
  <c r="G14" i="1"/>
  <c r="C14" i="1"/>
  <c r="B14" i="1"/>
  <c r="D14" i="1" s="1"/>
  <c r="H13" i="1"/>
  <c r="G13" i="1"/>
  <c r="C13" i="1"/>
  <c r="B13" i="1"/>
  <c r="D13" i="1" s="1"/>
  <c r="H12" i="1"/>
  <c r="G12" i="1"/>
  <c r="D12" i="1"/>
  <c r="C12" i="1"/>
  <c r="B12" i="1"/>
  <c r="E8" i="1"/>
  <c r="B8" i="1"/>
  <c r="E7" i="1"/>
  <c r="B7" i="1"/>
  <c r="E6" i="1"/>
  <c r="B6" i="1"/>
  <c r="E5" i="1"/>
  <c r="B5" i="1"/>
  <c r="E4" i="1"/>
  <c r="B4" i="1"/>
</calcChain>
</file>

<file path=xl/sharedStrings.xml><?xml version="1.0" encoding="utf-8"?>
<sst xmlns="http://schemas.openxmlformats.org/spreadsheetml/2006/main" count="1167" uniqueCount="661">
  <si>
    <t>OffSec Lab v0.1 — Project Dashboard</t>
  </si>
  <si>
    <t>KPI</t>
  </si>
  <si>
    <t>Total WBS Tasks</t>
  </si>
  <si>
    <t>Total Codex Issues</t>
  </si>
  <si>
    <t>Done</t>
  </si>
  <si>
    <t>Issue Done</t>
  </si>
  <si>
    <t>In Progress</t>
  </si>
  <si>
    <t>P0 Issues</t>
  </si>
  <si>
    <t>Blocked</t>
  </si>
  <si>
    <t>Milestones</t>
  </si>
  <si>
    <t>Overall Progress</t>
  </si>
  <si>
    <t>Milestone Done</t>
  </si>
  <si>
    <t>Phase</t>
  </si>
  <si>
    <t>Tasks</t>
  </si>
  <si>
    <t>Completion</t>
  </si>
  <si>
    <t>Priority</t>
  </si>
  <si>
    <t>WBS Tasks</t>
  </si>
  <si>
    <t>Codex Issues</t>
  </si>
  <si>
    <t>Phase 0: Project Foundation</t>
  </si>
  <si>
    <t>P0</t>
  </si>
  <si>
    <t>Phase 1: Basic Design</t>
  </si>
  <si>
    <t>P1</t>
  </si>
  <si>
    <t>Phase 2: Development Environment</t>
  </si>
  <si>
    <t>P2</t>
  </si>
  <si>
    <t>Phase 3: Backend / Database</t>
  </si>
  <si>
    <t>Phase 4: Backend API</t>
  </si>
  <si>
    <t>Phase 5: Lab Infrastructure</t>
  </si>
  <si>
    <t>MVP v0.1 Scope</t>
  </si>
  <si>
    <t>Phase 6: Lab Controller</t>
  </si>
  <si>
    <t>Core Flow</t>
  </si>
  <si>
    <t>Phase 7: Frontend</t>
  </si>
  <si>
    <t>Mission選択 → Lab起動 → Nmap → Challenge回答 → Mission Complete</t>
  </si>
  <si>
    <t>Phase 8: Mission 01 Content</t>
  </si>
  <si>
    <t>P0 Focus</t>
  </si>
  <si>
    <t>Phase 9: Testing</t>
  </si>
  <si>
    <t>Docker隔離 / Lab Controller / Mission Engine / E2E</t>
  </si>
  <si>
    <t>Phase 10: Security Assessment</t>
  </si>
  <si>
    <t>Deferred</t>
  </si>
  <si>
    <t>Phase 11: Documentation</t>
  </si>
  <si>
    <t>AI Mentor / XP / Browser Terminal / SQLi等はv0.2以降</t>
  </si>
  <si>
    <t>Phase 12: MVP Acceptance</t>
  </si>
  <si>
    <t>OffSec Lab v0.1 — Detailed WBS</t>
  </si>
  <si>
    <t>WBS ID</t>
  </si>
  <si>
    <t>Task</t>
  </si>
  <si>
    <t>概要</t>
  </si>
  <si>
    <t>Owner</t>
  </si>
  <si>
    <t>Depends On</t>
  </si>
  <si>
    <t>Deliverable</t>
  </si>
  <si>
    <t>Acceptance Criteria</t>
  </si>
  <si>
    <t>予定開始</t>
  </si>
  <si>
    <t>予定完了</t>
  </si>
  <si>
    <t>Status</t>
  </si>
  <si>
    <t>Progress</t>
  </si>
  <si>
    <t>0.1</t>
  </si>
  <si>
    <t>Repository作成</t>
  </si>
  <si>
    <t>Git Repositoryを作成し、main branchを準備する。</t>
  </si>
  <si>
    <t>ユーザー</t>
  </si>
  <si>
    <t>Git Repository</t>
  </si>
  <si>
    <t>Git初期化済み／main branchが存在する</t>
  </si>
  <si>
    <t>0.2</t>
  </si>
  <si>
    <t>ディレクトリ構成作成</t>
  </si>
  <si>
    <t>docs/frontend/backend/challenges/infra/tests/scripts等の初期構成を作成する。</t>
  </si>
  <si>
    <t>Codex</t>
  </si>
  <si>
    <t>Project Scaffold</t>
  </si>
  <si>
    <t>基本ディレクトリと主要ファイルが存在する</t>
  </si>
  <si>
    <t>0.3</t>
  </si>
  <si>
    <t>AGENTS.md作成</t>
  </si>
  <si>
    <t>Codex向けにPurpose/Architecture/Coding/Testing/Security/Documentationルールを定義する。</t>
  </si>
  <si>
    <t>ChatGPT / ユーザー</t>
  </si>
  <si>
    <t>AGENTS.md</t>
  </si>
  <si>
    <t>Codexがプロジェクト方針を参照できる</t>
  </si>
  <si>
    <t>0.4</t>
  </si>
  <si>
    <t>Git運用ルール決定</t>
  </si>
  <si>
    <t>feature branch・PR・レビュー・Commit prefix等の運用ルールを確定する。</t>
  </si>
  <si>
    <t>ユーザー / ChatGPT</t>
  </si>
  <si>
    <t>Git運用ルール</t>
  </si>
  <si>
    <t>branch/PR/commit方針が文書化されている</t>
  </si>
  <si>
    <t>1.1</t>
  </si>
  <si>
    <t>システム構成設計</t>
  </si>
  <si>
    <t>Browser→Frontend→Backend→DB→Lab Controller→Docker Networkの構成を設計する。</t>
  </si>
  <si>
    <t>ChatGPT / Work</t>
  </si>
  <si>
    <t>docs/design/architecture.md</t>
  </si>
  <si>
    <t>主要コンポーネントと責務・接続関係が定義されている</t>
  </si>
  <si>
    <t>1.2</t>
  </si>
  <si>
    <t>Frontend基本設計</t>
  </si>
  <si>
    <t>Page/Component/API通信/State管理を設計する。</t>
  </si>
  <si>
    <t>docs/design/frontend_design.md</t>
  </si>
  <si>
    <t>主要画面とコンポーネント責務が定義されている</t>
  </si>
  <si>
    <t>1.3</t>
  </si>
  <si>
    <t>Backend基本設計</t>
  </si>
  <si>
    <t>API/Service/Repository/Mission/Challenge/Lab管理を設計する。</t>
  </si>
  <si>
    <t>docs/design/backend_design.md</t>
  </si>
  <si>
    <t>Backend構成・責務・主要APIが定義されている</t>
  </si>
  <si>
    <t>1.4</t>
  </si>
  <si>
    <t>Database設計</t>
  </si>
  <si>
    <t>Mission/Challenge/Hint/ProgressのEntity・ER・Table定義を作成する。</t>
  </si>
  <si>
    <t>docs/design/database_design.md</t>
  </si>
  <si>
    <t>ERと最低限のテーブル定義が確定している</t>
  </si>
  <si>
    <t>1.5</t>
  </si>
  <si>
    <t>Lab Architecture設計</t>
  </si>
  <si>
    <t>Network/IP/Container lifecycle/Isolation/Reset方式を定義する。</t>
  </si>
  <si>
    <t>docs/design/lab_architecture.md</t>
  </si>
  <si>
    <t>Attacker/Targetの隔離・起動停止方式が確定している</t>
  </si>
  <si>
    <t>1.6</t>
  </si>
  <si>
    <t>Security Design</t>
  </si>
  <si>
    <t>Network Isolation/Docker Security/Host Protection/Secrets/Ports/Privilegeを設計する。</t>
  </si>
  <si>
    <t>docs/security/security_design.md</t>
  </si>
  <si>
    <t>脆弱Targetを安全に隔離する要件が明文化されている</t>
  </si>
  <si>
    <t>2.1</t>
  </si>
  <si>
    <t>Docker環境構築</t>
  </si>
  <si>
    <t>frontend/backend/databaseのDocker Compose基盤を構築する。</t>
  </si>
  <si>
    <t>1.1,1.3,1.4</t>
  </si>
  <si>
    <t>compose.yaml</t>
  </si>
  <si>
    <t>docker compose upで3サービスが起動する</t>
  </si>
  <si>
    <t>2.2</t>
  </si>
  <si>
    <t>Backend環境</t>
  </si>
  <si>
    <t>Python/FastAPI/依存管理/Test Frameworkを構築する。</t>
  </si>
  <si>
    <t>Backend foundation</t>
  </si>
  <si>
    <t>GET /health がHTTP 200を返す</t>
  </si>
  <si>
    <t>2.3</t>
  </si>
  <si>
    <t>Frontend環境</t>
  </si>
  <si>
    <t>Next.js/TypeScriptのFrontend基盤を構築する。</t>
  </si>
  <si>
    <t>Frontend foundation</t>
  </si>
  <si>
    <t>BrowserからTop Pageへアクセス可能</t>
  </si>
  <si>
    <t>2.4</t>
  </si>
  <si>
    <t>PostgreSQL環境</t>
  </si>
  <si>
    <t>PostgreSQLと接続設定を構築する。</t>
  </si>
  <si>
    <t>2.1,2.2</t>
  </si>
  <si>
    <t>Database service</t>
  </si>
  <si>
    <t>BackendからDBへ接続可能</t>
  </si>
  <si>
    <t>2.5</t>
  </si>
  <si>
    <t>Environment Variables</t>
  </si>
  <si>
    <t>.env.exampleを作成し、.envをGit対象外にする。</t>
  </si>
  <si>
    <t>.env.example / .gitignore</t>
  </si>
  <si>
    <t>秘密情報がRepositoryへCommitされない</t>
  </si>
  <si>
    <t>3.1</t>
  </si>
  <si>
    <t>Mission Model実装</t>
  </si>
  <si>
    <t>Mission Entity（id/name/description/difficulty）を実装する。</t>
  </si>
  <si>
    <t>2.2,2.4</t>
  </si>
  <si>
    <t>Mission model</t>
  </si>
  <si>
    <t>Missionデータを保存・取得できる</t>
  </si>
  <si>
    <t>3.2</t>
  </si>
  <si>
    <t>Challenge Model実装</t>
  </si>
  <si>
    <t>Challenge Entity（id/mission_id/title/description/answer/order）を実装する。</t>
  </si>
  <si>
    <t>Challenge model</t>
  </si>
  <si>
    <t>Missionに紐づくChallengeを保持できる</t>
  </si>
  <si>
    <t>3.3</t>
  </si>
  <si>
    <t>Hint Model実装</t>
  </si>
  <si>
    <t>Hint Entity（challenge_id/level/content）を実装する。</t>
  </si>
  <si>
    <t>Hint model</t>
  </si>
  <si>
    <t>Challengeごとに段階Hintを保持できる</t>
  </si>
  <si>
    <t>3.4</t>
  </si>
  <si>
    <t>Progress Model実装</t>
  </si>
  <si>
    <t>Mission/Challengeの進捗状態を保持する。</t>
  </si>
  <si>
    <t>3.1,3.2</t>
  </si>
  <si>
    <t>Progress model</t>
  </si>
  <si>
    <t>Challenge状態を永続化できる</t>
  </si>
  <si>
    <t>3.5</t>
  </si>
  <si>
    <t>Migration構築</t>
  </si>
  <si>
    <t>DB Migrationを実装し初期DBを再現可能にする。</t>
  </si>
  <si>
    <t>3.1,3.2,3.3,3.4</t>
  </si>
  <si>
    <t>Migration files</t>
  </si>
  <si>
    <t>空DBからSchemaを再作成できる</t>
  </si>
  <si>
    <t>3.6</t>
  </si>
  <si>
    <t>Seed Data作成</t>
  </si>
  <si>
    <t>Mission 01とChallenge/Hintの初期データを投入する。</t>
  </si>
  <si>
    <t>Seed data</t>
  </si>
  <si>
    <t>初期Missionデータが再現可能</t>
  </si>
  <si>
    <t>4.1</t>
  </si>
  <si>
    <t>Mission List API</t>
  </si>
  <si>
    <t>GET /missionsを実装する。</t>
  </si>
  <si>
    <t>GET /missions</t>
  </si>
  <si>
    <t>Mission一覧をJSONで取得できる</t>
  </si>
  <si>
    <t>4.2</t>
  </si>
  <si>
    <t>Mission Detail API</t>
  </si>
  <si>
    <t>GET /missions/{id}を実装する。</t>
  </si>
  <si>
    <t>GET /missions/{id}</t>
  </si>
  <si>
    <t>Mission詳細とChallenge一覧を取得できる</t>
  </si>
  <si>
    <t>4.3</t>
  </si>
  <si>
    <t>Challenge Answer API</t>
  </si>
  <si>
    <t>POST /challenges/{id}/answerを実装する。</t>
  </si>
  <si>
    <t>3.2,3.4</t>
  </si>
  <si>
    <t>Challenge answer API</t>
  </si>
  <si>
    <t>正誤判定結果を返せる</t>
  </si>
  <si>
    <t>4.4</t>
  </si>
  <si>
    <t>Progress API</t>
  </si>
  <si>
    <t>GET /progressを実装する。</t>
  </si>
  <si>
    <t>GET /progress</t>
  </si>
  <si>
    <t>Challenge進捗を取得できる</t>
  </si>
  <si>
    <t>4.5</t>
  </si>
  <si>
    <t>Mission Complete Logic</t>
  </si>
  <si>
    <t>全必須Challenge完了時にMission Completeへ遷移する。</t>
  </si>
  <si>
    <t>4.3,4.4</t>
  </si>
  <si>
    <t>Mission completion logic</t>
  </si>
  <si>
    <t>全Challenge完了でMISSION_COMPLETEになる</t>
  </si>
  <si>
    <t>5.1</t>
  </si>
  <si>
    <t>Challenge Network作成</t>
  </si>
  <si>
    <t>Mission 01専用の隔離Docker Networkを作成する。</t>
  </si>
  <si>
    <t>1.5,1.6</t>
  </si>
  <si>
    <t>offsec-lab-m01 network</t>
  </si>
  <si>
    <t>TargetがInternetへ直接公開されない</t>
  </si>
  <si>
    <t>5.2</t>
  </si>
  <si>
    <t>Attacker Container作成</t>
  </si>
  <si>
    <t>Linuxベースでping/nmap/curlを利用できるAttackerを作成する。</t>
  </si>
  <si>
    <t>Attacker image/container</t>
  </si>
  <si>
    <t>ping/nmap/curlが使用可能</t>
  </si>
  <si>
    <t>5.3</t>
  </si>
  <si>
    <t>Target Container作成</t>
  </si>
  <si>
    <t>Mission 01用Targetを作成し22/tcp・80/tcpを提供する。</t>
  </si>
  <si>
    <t>Target image/container</t>
  </si>
  <si>
    <t>意図したServiceのみ稼働する</t>
  </si>
  <si>
    <t>5.4</t>
  </si>
  <si>
    <t>Target HTTP Server</t>
  </si>
  <si>
    <t>HTTP Status/Header/Titleを確認できるWeb Serverを用意する。</t>
  </si>
  <si>
    <t>HTTP service</t>
  </si>
  <si>
    <t>curl等でMission用情報を取得できる</t>
  </si>
  <si>
    <t>5.5</t>
  </si>
  <si>
    <t>Target SSH Server</t>
  </si>
  <si>
    <t>Service Enumeration対象としてSSH Serviceを用意する。</t>
  </si>
  <si>
    <t>SSH service</t>
  </si>
  <si>
    <t>nmap -sVでSSH Serviceを識別可能</t>
  </si>
  <si>
    <t>5.6</t>
  </si>
  <si>
    <t>Network Reachability Test</t>
  </si>
  <si>
    <t>Attacker→Targetの到達性を確認する。</t>
  </si>
  <si>
    <t>Codex / ユーザー</t>
  </si>
  <si>
    <t>5.2,5.3</t>
  </si>
  <si>
    <t>Connectivity test result</t>
  </si>
  <si>
    <t>AttackerからTargetへ接続できる</t>
  </si>
  <si>
    <t>5.7</t>
  </si>
  <si>
    <t>Nmap Test</t>
  </si>
  <si>
    <t>AttackerからPort Scanを実行し22/80を確認する。</t>
  </si>
  <si>
    <t>Nmap result</t>
  </si>
  <si>
    <t>想定Open Portを取得できる</t>
  </si>
  <si>
    <t>5.8</t>
  </si>
  <si>
    <t>Service Detection Test</t>
  </si>
  <si>
    <t>nmap -sVでService情報を取得する。</t>
  </si>
  <si>
    <t>Service detection result</t>
  </si>
  <si>
    <t>想定Service/Versionを取得できる</t>
  </si>
  <si>
    <t>6.1</t>
  </si>
  <si>
    <t>Lab Start実装</t>
  </si>
  <si>
    <t>Mission IDに応じてNetwork/Attacker/Targetを起動する。</t>
  </si>
  <si>
    <t>5.1,5.2,5.3</t>
  </si>
  <si>
    <t>POST /labs/{mission_id}/start</t>
  </si>
  <si>
    <t>LabがRUNNINGまで遷移する</t>
  </si>
  <si>
    <t>6.2</t>
  </si>
  <si>
    <t>Lab Status実装</t>
  </si>
  <si>
    <t>STOPPED/STARTING/RUNNING/STOPPING/ERRORを取得可能にする。</t>
  </si>
  <si>
    <t>GET /labs/{mission_id}/status</t>
  </si>
  <si>
    <t>現在状態を正しく返す</t>
  </si>
  <si>
    <t>6.3</t>
  </si>
  <si>
    <t>Lab Stop実装</t>
  </si>
  <si>
    <t>Mission用Containerを安全に停止する。</t>
  </si>
  <si>
    <t>POST /labs/{mission_id}/stop</t>
  </si>
  <si>
    <t>Mission用Containerが停止する</t>
  </si>
  <si>
    <t>6.4</t>
  </si>
  <si>
    <t>Lab Reset実装</t>
  </si>
  <si>
    <t>Stop→Remove→Recreate→Startで初期状態へ戻す。</t>
  </si>
  <si>
    <t>6.1,6.3</t>
  </si>
  <si>
    <t>POST /labs/{mission_id}/reset</t>
  </si>
  <si>
    <t>変更されたLabを既知状態へ戻せる</t>
  </si>
  <si>
    <t>6.5</t>
  </si>
  <si>
    <t>Error Handling</t>
  </si>
  <si>
    <t>Docker unavailable/start failure/network failure/timeoutを処理する。</t>
  </si>
  <si>
    <t>6.1,6.2,6.3,6.4</t>
  </si>
  <si>
    <t>Lab error handling</t>
  </si>
  <si>
    <t>失敗時にERRORと原因を確認できる</t>
  </si>
  <si>
    <t>7.1</t>
  </si>
  <si>
    <t>Home Page</t>
  </si>
  <si>
    <t>OffSec LabのTop Pageを作成する。</t>
  </si>
  <si>
    <t>Home page</t>
  </si>
  <si>
    <t>BrowserでTop Pageが表示される</t>
  </si>
  <si>
    <t>7.2</t>
  </si>
  <si>
    <t>Mission List Page</t>
  </si>
  <si>
    <t>Mission CardとStatusを表示する。</t>
  </si>
  <si>
    <t>4.1,7.1</t>
  </si>
  <si>
    <t>Mission list UI</t>
  </si>
  <si>
    <t>Mission 01を選択できる</t>
  </si>
  <si>
    <t>7.3</t>
  </si>
  <si>
    <t>Mission Detail Page</t>
  </si>
  <si>
    <t>Scenario/Objective/Learning Goals/Challenge一覧を表示する。</t>
  </si>
  <si>
    <t>4.2,7.2</t>
  </si>
  <si>
    <t>Mission detail UI</t>
  </si>
  <si>
    <t>Mission詳細を確認できる</t>
  </si>
  <si>
    <t>7.4</t>
  </si>
  <si>
    <t>Lab Control UI</t>
  </si>
  <si>
    <t>Start/Stop/Reset操作を実装する。</t>
  </si>
  <si>
    <t>6.1,6.3,6.4,7.3</t>
  </si>
  <si>
    <t>Lab controls</t>
  </si>
  <si>
    <t>画面からLab操作ができる</t>
  </si>
  <si>
    <t>7.5</t>
  </si>
  <si>
    <t>Lab Status表示</t>
  </si>
  <si>
    <t>Lab Statusを画面へ表示する。</t>
  </si>
  <si>
    <t>6.2,7.4</t>
  </si>
  <si>
    <t>Lab status UI</t>
  </si>
  <si>
    <t>RUNNING等の状態が確認できる</t>
  </si>
  <si>
    <t>7.6</t>
  </si>
  <si>
    <t>Target Information</t>
  </si>
  <si>
    <t>Mission中にTarget IPを表示する。</t>
  </si>
  <si>
    <t>6.1,7.3</t>
  </si>
  <si>
    <t>Target information UI</t>
  </si>
  <si>
    <t>ユーザーがTarget IPを確認できる</t>
  </si>
  <si>
    <t>7.7</t>
  </si>
  <si>
    <t>Challenge UI</t>
  </si>
  <si>
    <t>Challenge本文・Answer入力・Submitを実装する。</t>
  </si>
  <si>
    <t>4.3,7.3</t>
  </si>
  <si>
    <t>回答をBackendへ送信できる</t>
  </si>
  <si>
    <t>7.8</t>
  </si>
  <si>
    <t>Challenge Result</t>
  </si>
  <si>
    <t>Correct/Incorrect結果を表示する。</t>
  </si>
  <si>
    <t>Challenge result UI</t>
  </si>
  <si>
    <t>正誤結果が明確に表示される</t>
  </si>
  <si>
    <t>7.9</t>
  </si>
  <si>
    <t>Hint UI</t>
  </si>
  <si>
    <t>3段階Hintを段階表示する。</t>
  </si>
  <si>
    <t>3.3,7.7</t>
  </si>
  <si>
    <t>Hintを順に閲覧できる</t>
  </si>
  <si>
    <t>7.10</t>
  </si>
  <si>
    <t>Mission Complete Page</t>
  </si>
  <si>
    <t>全Challenge完了後の完了画面を作成する。</t>
  </si>
  <si>
    <t>4.5,7.8</t>
  </si>
  <si>
    <t>Mission complete UI</t>
  </si>
  <si>
    <t>Mission Completeが表示される</t>
  </si>
  <si>
    <t>8.1</t>
  </si>
  <si>
    <t>Scenario作成</t>
  </si>
  <si>
    <t>Web ServerのAttack Surface調査という診断シナリオを作成する。</t>
  </si>
  <si>
    <t>Mission 01 scenario</t>
  </si>
  <si>
    <t>実務を意識したScenarioが定義されている</t>
  </si>
  <si>
    <t>8.2</t>
  </si>
  <si>
    <t>Challenge 01: Host Discovery</t>
  </si>
  <si>
    <t>Targetへの到達性確認Challengeを作成する。</t>
  </si>
  <si>
    <t>ChatGPT / Codex</t>
  </si>
  <si>
    <t>5.6,8.1</t>
  </si>
  <si>
    <t>Challenge 01 content</t>
  </si>
  <si>
    <t>到達性確認の目的と判定条件が定義されている</t>
  </si>
  <si>
    <t>8.3</t>
  </si>
  <si>
    <t>Challenge 02: Port Scan</t>
  </si>
  <si>
    <t>Open Port特定Challengeを作成する。</t>
  </si>
  <si>
    <t>5.7,8.1</t>
  </si>
  <si>
    <t>Challenge 02 content</t>
  </si>
  <si>
    <t>22/80等のOpen Portを回答できる</t>
  </si>
  <si>
    <t>8.4</t>
  </si>
  <si>
    <t>Challenge 03: Service Enumeration</t>
  </si>
  <si>
    <t>Service特定Challengeを作成する。</t>
  </si>
  <si>
    <t>5.8,8.1</t>
  </si>
  <si>
    <t>Challenge 03 content</t>
  </si>
  <si>
    <t>HTTP/SSH等を回答できる</t>
  </si>
  <si>
    <t>8.5</t>
  </si>
  <si>
    <t>Challenge 04: Version Detection</t>
  </si>
  <si>
    <t>Service Version確認Challengeを作成する。</t>
  </si>
  <si>
    <t>Challenge 04 content</t>
  </si>
  <si>
    <t>想定Version情報を回答できる</t>
  </si>
  <si>
    <t>8.6</t>
  </si>
  <si>
    <t>Challenge 05: HTTP Inspection</t>
  </si>
  <si>
    <t>HTTP ServerのStatus/Header/Title等を調査するChallengeを作成する。</t>
  </si>
  <si>
    <t>5.4,8.1</t>
  </si>
  <si>
    <t>Challenge 05 content</t>
  </si>
  <si>
    <t>指定Web情報を回答できる</t>
  </si>
  <si>
    <t>8.7</t>
  </si>
  <si>
    <t>Hint作成</t>
  </si>
  <si>
    <t>各Challengeに最大3段階のHintを用意する。</t>
  </si>
  <si>
    <t>8.2,8.3,8.4,8.5,8.6</t>
  </si>
  <si>
    <t>Mission 01 hints</t>
  </si>
  <si>
    <t>考え方→技術→コマンドの段階Hintがある</t>
  </si>
  <si>
    <t>8.8</t>
  </si>
  <si>
    <t>Learning Explanation作成</t>
  </si>
  <si>
    <t>Recon/Enumeration/Nmap/実務利用の解説を作成する。</t>
  </si>
  <si>
    <t>Learning explanation</t>
  </si>
  <si>
    <t>Mission終了後に学習内容を振り返れる</t>
  </si>
  <si>
    <t>9.1</t>
  </si>
  <si>
    <t>Unit Test</t>
  </si>
  <si>
    <t>Mission/Challenge/Answer/Progress Logicを単体テストする。</t>
  </si>
  <si>
    <t>Unit test suite</t>
  </si>
  <si>
    <t>主要ロジックのテストが成功する</t>
  </si>
  <si>
    <t>9.2</t>
  </si>
  <si>
    <t>Backend API Test</t>
  </si>
  <si>
    <t>missions/challenges/labs/progress APIをテストする。</t>
  </si>
  <si>
    <t>4.5,6.5</t>
  </si>
  <si>
    <t>API test suite</t>
  </si>
  <si>
    <t>主要APIの正常/異常系を確認できる</t>
  </si>
  <si>
    <t>9.3</t>
  </si>
  <si>
    <t>Lab Integration Test</t>
  </si>
  <si>
    <t>Backend→Docker→Attacker→Target連携を確認する。</t>
  </si>
  <si>
    <t>Lab integration test</t>
  </si>
  <si>
    <t>Labの起動・接続・停止が一連で成功する</t>
  </si>
  <si>
    <t>9.4</t>
  </si>
  <si>
    <t>Frontend Integration Test</t>
  </si>
  <si>
    <t>Frontend→Backend API連携を確認する。</t>
  </si>
  <si>
    <t>Frontend integration test</t>
  </si>
  <si>
    <t>主要画面操作がAPIと連動する</t>
  </si>
  <si>
    <t>9.5</t>
  </si>
  <si>
    <t>End-to-End Test</t>
  </si>
  <si>
    <t>Mission選択からMission Complete/Stopまで全フローを実施する。</t>
  </si>
  <si>
    <t>ユーザー / Codex</t>
  </si>
  <si>
    <t>8.8,9.2,9.3,9.4</t>
  </si>
  <si>
    <t>E2E test report</t>
  </si>
  <si>
    <t>最初から最後までMission 01をプレイできる</t>
  </si>
  <si>
    <t>9.6</t>
  </si>
  <si>
    <t>Reset Test</t>
  </si>
  <si>
    <t>Lab Resetで初期状態へ戻ることを確認する。</t>
  </si>
  <si>
    <t>6.4,9.3</t>
  </si>
  <si>
    <t>Reset test result</t>
  </si>
  <si>
    <t>変更後のTargetが既知状態へ復元される</t>
  </si>
  <si>
    <t>10.1</t>
  </si>
  <si>
    <t>Host Port確認</t>
  </si>
  <si>
    <t>不要なPortがHostへ公開されていないことを確認する。</t>
  </si>
  <si>
    <t>Security evidence</t>
  </si>
  <si>
    <t>Host公開Portが必要最小限</t>
  </si>
  <si>
    <t>10.2</t>
  </si>
  <si>
    <t>Docker Network確認</t>
  </si>
  <si>
    <t>Targetが意図したNetworkのみに所属することを確認する。</t>
  </si>
  <si>
    <t>Network security evidence</t>
  </si>
  <si>
    <t>Targetが適切に隔離されている</t>
  </si>
  <si>
    <t>10.3</t>
  </si>
  <si>
    <t>Privileged確認</t>
  </si>
  <si>
    <t>Target/Attackerがprivileged:trueでないことを確認する。</t>
  </si>
  <si>
    <t>Container privilege evidence</t>
  </si>
  <si>
    <t>不要なprivileged権限がない</t>
  </si>
  <si>
    <t>10.4</t>
  </si>
  <si>
    <t>Docker Socket確認</t>
  </si>
  <si>
    <t>Target/Attackerへdocker.sockがMountされていないことを確認する。</t>
  </si>
  <si>
    <t>Mount evidence</t>
  </si>
  <si>
    <t>Docker socketがLabへ露出していない</t>
  </si>
  <si>
    <t>10.5</t>
  </si>
  <si>
    <t>Volume確認</t>
  </si>
  <si>
    <t>不要なHost Directory Mountがないことを確認する。</t>
  </si>
  <si>
    <t>Volume evidence</t>
  </si>
  <si>
    <t>Hostへの不要なFilesystem accessがない</t>
  </si>
  <si>
    <t>10.6</t>
  </si>
  <si>
    <t>Internet Exposure確認</t>
  </si>
  <si>
    <t>外部からTargetへ直接接続できないことを確認する。</t>
  </si>
  <si>
    <t>Exposure test result</t>
  </si>
  <si>
    <t>TargetがInternet公開されていない</t>
  </si>
  <si>
    <t>10.7</t>
  </si>
  <si>
    <t>Secret Scan</t>
  </si>
  <si>
    <t>RepositoryにPassword/Token/API Key/Secretがないことを確認する。</t>
  </si>
  <si>
    <t>Secret scan result</t>
  </si>
  <si>
    <t>実秘密情報がCommitされていない</t>
  </si>
  <si>
    <t>11.1</t>
  </si>
  <si>
    <t>README</t>
  </si>
  <si>
    <t>概要/Architecture/Requirements/Setup/Start/Stop/Play/Security Warningを整備する。</t>
  </si>
  <si>
    <t>9.5,10.7</t>
  </si>
  <si>
    <t>README.md</t>
  </si>
  <si>
    <t>第三者が構成・起動・遊び方を理解できる</t>
  </si>
  <si>
    <t>11.2</t>
  </si>
  <si>
    <t>Architecture Document更新</t>
  </si>
  <si>
    <t>実装結果に合わせてArchitecture文書を更新する。</t>
  </si>
  <si>
    <t>Updated architecture doc</t>
  </si>
  <si>
    <t>実装と文書に乖離がない</t>
  </si>
  <si>
    <t>11.3</t>
  </si>
  <si>
    <t>Security Document更新</t>
  </si>
  <si>
    <t>最終的なDocker隔離・制約を文書化する。</t>
  </si>
  <si>
    <t>Updated security doc</t>
  </si>
  <si>
    <t>Security Assessment結果が反映されている</t>
  </si>
  <si>
    <t>11.4</t>
  </si>
  <si>
    <t>Test Report</t>
  </si>
  <si>
    <t>実施テストと結果を記録する。</t>
  </si>
  <si>
    <t>Test report</t>
  </si>
  <si>
    <t>主要Testの結果とEvidenceが記録されている</t>
  </si>
  <si>
    <t>11.5</t>
  </si>
  <si>
    <t>Development Log</t>
  </si>
  <si>
    <t>判断・問題・解決・学習を記録する。</t>
  </si>
  <si>
    <t>Development log</t>
  </si>
  <si>
    <t>ポートフォリオで開発プロセスを説明できる</t>
  </si>
  <si>
    <t>12.1</t>
  </si>
  <si>
    <t>MVP Acceptance Review</t>
  </si>
  <si>
    <t>v0.1受入基準を全件確認し、MVP完成判定を行う。</t>
  </si>
  <si>
    <t>11.1,11.2,11.3,11.4</t>
  </si>
  <si>
    <t>MVP acceptance record</t>
  </si>
  <si>
    <t>全必須Acceptance Criteriaを満たす</t>
  </si>
  <si>
    <t>OffSec Lab v0.1 — Codex Issue Backlog</t>
  </si>
  <si>
    <t>Issue ID</t>
  </si>
  <si>
    <t>Issue</t>
  </si>
  <si>
    <t>実装目的 / Scope</t>
  </si>
  <si>
    <t>ISSUE-001</t>
  </si>
  <si>
    <t>初期Repository構成・ディレクトリ・主要ファイル作成</t>
  </si>
  <si>
    <t>Phase 0</t>
  </si>
  <si>
    <t>ISSUE-002</t>
  </si>
  <si>
    <t>Frontend/Backend/DBのCompose開発環境</t>
  </si>
  <si>
    <t>Phase 2</t>
  </si>
  <si>
    <t>docker compose upで基盤が起動する</t>
  </si>
  <si>
    <t>ISSUE-003</t>
  </si>
  <si>
    <t>FastAPI Backend Foundation</t>
  </si>
  <si>
    <t>FastAPI基盤とhealth endpoint</t>
  </si>
  <si>
    <t>GET /healthが200を返す</t>
  </si>
  <si>
    <t>ISSUE-004</t>
  </si>
  <si>
    <t>PostgreSQL Database Foundation</t>
  </si>
  <si>
    <t>PostgreSQLとBackend接続</t>
  </si>
  <si>
    <t>ISSUE-002,ISSUE-003</t>
  </si>
  <si>
    <t>BackendからDBへ接続できる</t>
  </si>
  <si>
    <t>ISSUE-005</t>
  </si>
  <si>
    <t>Mission / Challenge Data Model</t>
  </si>
  <si>
    <t>Mission/Challenge/Hint/Progress ModelとMigration</t>
  </si>
  <si>
    <t>Phase 3</t>
  </si>
  <si>
    <t>ISSUE-003,ISSUE-004</t>
  </si>
  <si>
    <t>Schemaを再現できる</t>
  </si>
  <si>
    <t>ISSUE-006</t>
  </si>
  <si>
    <t>Mission API</t>
  </si>
  <si>
    <t>Mission List/Detail API</t>
  </si>
  <si>
    <t>Phase 4</t>
  </si>
  <si>
    <t>Mission一覧・詳細を取得できる</t>
  </si>
  <si>
    <t>ISSUE-007</t>
  </si>
  <si>
    <t>Challenge回答・正誤判定</t>
  </si>
  <si>
    <t>回答に対して正誤を返す</t>
  </si>
  <si>
    <t>ISSUE-008</t>
  </si>
  <si>
    <t>Progress Management</t>
  </si>
  <si>
    <t>Challenge/Mission進捗管理</t>
  </si>
  <si>
    <t>ISSUE-005,ISSUE-007</t>
  </si>
  <si>
    <t>進捗保存・取得ができる</t>
  </si>
  <si>
    <t>ISSUE-009</t>
  </si>
  <si>
    <t>Mission 01 Docker Network</t>
  </si>
  <si>
    <t>Mission用隔離Network</t>
  </si>
  <si>
    <t>Phase 5</t>
  </si>
  <si>
    <t>Targetが外部公開されない隔離Networkがある</t>
  </si>
  <si>
    <t>ISSUE-010</t>
  </si>
  <si>
    <t>Attacker Container</t>
  </si>
  <si>
    <t>ping/nmap/curlを備えたAttacker</t>
  </si>
  <si>
    <t>必要ツールを実行できる</t>
  </si>
  <si>
    <t>ISSUE-011</t>
  </si>
  <si>
    <t>Mission 01 Target Container</t>
  </si>
  <si>
    <t>SSH/HTTPを備えたTarget</t>
  </si>
  <si>
    <t>22/80が意図通り稼働する</t>
  </si>
  <si>
    <t>ISSUE-012</t>
  </si>
  <si>
    <t>Lab Controller — Start</t>
  </si>
  <si>
    <t>Lab Start処理</t>
  </si>
  <si>
    <t>Phase 6</t>
  </si>
  <si>
    <t>ISSUE-009,ISSUE-010,ISSUE-011</t>
  </si>
  <si>
    <t>Start APIでLabがRUNNINGになる</t>
  </si>
  <si>
    <t>ISSUE-013</t>
  </si>
  <si>
    <t>Lab Controller — Stop / Reset</t>
  </si>
  <si>
    <t>Lab Stop/Reset処理</t>
  </si>
  <si>
    <t>Stop/Resetが正常に完了する</t>
  </si>
  <si>
    <t>ISSUE-014</t>
  </si>
  <si>
    <t>Lab Status API</t>
  </si>
  <si>
    <t>Lab状態取得API</t>
  </si>
  <si>
    <t>STOPPED〜ERRORを取得できる</t>
  </si>
  <si>
    <t>ISSUE-015</t>
  </si>
  <si>
    <t>Next.js Frontend Foundation</t>
  </si>
  <si>
    <t>Next.js/TypeScript基盤</t>
  </si>
  <si>
    <t>Phase 7</t>
  </si>
  <si>
    <t>Top Pageへアクセスできる</t>
  </si>
  <si>
    <t>ISSUE-016</t>
  </si>
  <si>
    <t>Mission List UI</t>
  </si>
  <si>
    <t>Mission一覧画面</t>
  </si>
  <si>
    <t>ISSUE-006,ISSUE-015</t>
  </si>
  <si>
    <t>ISSUE-017</t>
  </si>
  <si>
    <t>Mission Detail UI</t>
  </si>
  <si>
    <t>Mission詳細画面</t>
  </si>
  <si>
    <t>ISSUE-006,ISSUE-016</t>
  </si>
  <si>
    <t>Scenario/Challengeを確認できる</t>
  </si>
  <si>
    <t>ISSUE-018</t>
  </si>
  <si>
    <t>Start/Stop/Reset UI</t>
  </si>
  <si>
    <t>ISSUE-012,ISSUE-013,ISSUE-014,ISSUE-017</t>
  </si>
  <si>
    <t>UIからLab操作できる</t>
  </si>
  <si>
    <t>ISSUE-019</t>
  </si>
  <si>
    <t>回答入力・送信・結果表示</t>
  </si>
  <si>
    <t>ISSUE-007,ISSUE-017</t>
  </si>
  <si>
    <t>Challengeを回答できる</t>
  </si>
  <si>
    <t>ISSUE-020</t>
  </si>
  <si>
    <t>段階Hint表示</t>
  </si>
  <si>
    <t>ISSUE-005,ISSUE-019</t>
  </si>
  <si>
    <t>Hintを段階表示できる</t>
  </si>
  <si>
    <t>ISSUE-021</t>
  </si>
  <si>
    <t>Mission Complete UI</t>
  </si>
  <si>
    <t>Mission完了表示</t>
  </si>
  <si>
    <t>ISSUE-008,ISSUE-019</t>
  </si>
  <si>
    <t>全Challenge完了で完了画面を表示</t>
  </si>
  <si>
    <t>ISSUE-022</t>
  </si>
  <si>
    <t>Mission 01 Content</t>
  </si>
  <si>
    <t>Scenario/5 Challenge/Hint/Learning Explanation</t>
  </si>
  <si>
    <t>Phase 8</t>
  </si>
  <si>
    <t>ISSUE-010,ISSUE-011,ISSUE-019</t>
  </si>
  <si>
    <t>Mission 01を一通り遊べる</t>
  </si>
  <si>
    <t>ISSUE-023</t>
  </si>
  <si>
    <t>Backend Tests</t>
  </si>
  <si>
    <t>Backend Unit/API tests</t>
  </si>
  <si>
    <t>Phase 9</t>
  </si>
  <si>
    <t>ISSUE-008,ISSUE-014</t>
  </si>
  <si>
    <t>主要Backend testsが成功する</t>
  </si>
  <si>
    <t>ISSUE-024</t>
  </si>
  <si>
    <t>Lab Integration Tests</t>
  </si>
  <si>
    <t>Backend→Docker→Attacker→Target tests</t>
  </si>
  <si>
    <t>ISSUE-013,ISSUE-014</t>
  </si>
  <si>
    <t>Lab連携Testが成功する</t>
  </si>
  <si>
    <t>ISSUE-025</t>
  </si>
  <si>
    <t>Frontend Tests</t>
  </si>
  <si>
    <t>Frontend integration tests</t>
  </si>
  <si>
    <t>主要UI/API連携Testが成功する</t>
  </si>
  <si>
    <t>ISSUE-026</t>
  </si>
  <si>
    <t>Mission開始〜完了〜停止のE2E</t>
  </si>
  <si>
    <t>ISSUE-022,ISSUE-023,ISSUE-024,ISSUE-025</t>
  </si>
  <si>
    <t>全プレイフローが成功する</t>
  </si>
  <si>
    <t>ISSUE-027</t>
  </si>
  <si>
    <t>Network/Port/Privilege/Socket/Secret確認</t>
  </si>
  <si>
    <t>Phase 10</t>
  </si>
  <si>
    <t>重大な隔離不備がない</t>
  </si>
  <si>
    <t>ISSUE-028</t>
  </si>
  <si>
    <t>README/Architecture/Security/Test文書を整備</t>
  </si>
  <si>
    <t>Phase 11</t>
  </si>
  <si>
    <t>ISSUE-026,ISSUE-027</t>
  </si>
  <si>
    <t>第三者が構築・理解できる</t>
  </si>
  <si>
    <t>ISSUE-029</t>
  </si>
  <si>
    <t>MVP受入基準の最終判定</t>
  </si>
  <si>
    <t>Phase 12</t>
  </si>
  <si>
    <t>全MVP必須要件を満たす</t>
  </si>
  <si>
    <t>OffSec Lab v0.1 — Milestones</t>
  </si>
  <si>
    <t>ID</t>
  </si>
  <si>
    <t>Milestone</t>
  </si>
  <si>
    <t>Definition</t>
  </si>
  <si>
    <t>Related Phase</t>
  </si>
  <si>
    <t>Exit Criteria</t>
  </si>
  <si>
    <t>Notes</t>
  </si>
  <si>
    <t>M1</t>
  </si>
  <si>
    <t>企画・要件確定</t>
  </si>
  <si>
    <t>企画書・MVP要件定義・WBSが確定</t>
  </si>
  <si>
    <t>Phase 0-1</t>
  </si>
  <si>
    <t>基本設計着手可能な状態</t>
  </si>
  <si>
    <t>M2</t>
  </si>
  <si>
    <t>基本設計完了</t>
  </si>
  <si>
    <t>Architecture/Backend/DB/Lab/Security基本設計が確定</t>
  </si>
  <si>
    <t>Phase 1</t>
  </si>
  <si>
    <t>実装Issueを安全に開始できる</t>
  </si>
  <si>
    <t>M3</t>
  </si>
  <si>
    <t>Platform Foundation</t>
  </si>
  <si>
    <t>Frontend/Backend/DB基盤が起動</t>
  </si>
  <si>
    <t>Phase 2-4</t>
  </si>
  <si>
    <t>Mission APIとChallenge判定の基盤が動作</t>
  </si>
  <si>
    <t>M4</t>
  </si>
  <si>
    <t>First Lab Running</t>
  </si>
  <si>
    <t>Attacker/Target/Network/Lab Controllerが動作</t>
  </si>
  <si>
    <t>Phase 5-6</t>
  </si>
  <si>
    <t>Start→Nmap→Stop/Resetが可能</t>
  </si>
  <si>
    <t>M5</t>
  </si>
  <si>
    <t>First Playable</t>
  </si>
  <si>
    <t>Web UIからMission 01を最初から最後までプレイ可能</t>
  </si>
  <si>
    <t>Phase 7-8</t>
  </si>
  <si>
    <t>Mission Completeまで到達可能</t>
  </si>
  <si>
    <t>M6</t>
  </si>
  <si>
    <t>Testing Complete</t>
  </si>
  <si>
    <t>Unit/API/Integration/E2E/Reset Test完了</t>
  </si>
  <si>
    <t>主要Testが記録済み</t>
  </si>
  <si>
    <t>M7</t>
  </si>
  <si>
    <t>Security Review Complete</t>
  </si>
  <si>
    <t>隔離・Privilege・Secrets等のAssessment完了</t>
  </si>
  <si>
    <t>重大なSecurity不備なし</t>
  </si>
  <si>
    <t>M8</t>
  </si>
  <si>
    <t>OffSec Lab v0.1 MVP</t>
  </si>
  <si>
    <t>DocumentationとAcceptance Review完了</t>
  </si>
  <si>
    <t>Phase 11-12</t>
  </si>
  <si>
    <t>v0.1 MVP Complete</t>
  </si>
  <si>
    <t>※ Masterシートは入力候補リスト用です。通常は編集不要です。</t>
  </si>
  <si>
    <t>Not Started</t>
  </si>
  <si>
    <t>ChatGPT</t>
  </si>
  <si>
    <t>Codex / ChatGPT</t>
  </si>
  <si>
    <t>Current Phase</t>
  </si>
  <si>
    <t>Next Task</t>
  </si>
  <si>
    <t>ISSUE-022完了。Mission 01をブラウザで全5問完了し、Hint表示・Mission Complete・学習解説を確認。attacker→target-m01でping / nmap / nmap -sV / curlを手動実測し教材内容と一致。</t>
  </si>
  <si>
    <t>Phase 9 PASS。次: ISSUE-027 Security Assessment。</t>
  </si>
  <si>
    <t>Security Assessment</t>
    <phoneticPr fontId="9"/>
  </si>
  <si>
    <t>README / Documentation</t>
    <phoneticPr fontId="9"/>
  </si>
  <si>
    <t>MVP Acceptance Review</t>
    <phoneticPr fontId="9"/>
  </si>
  <si>
    <t>Docker Development Environment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</si>
</sst>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8"/>
      <color rgb="FFFFFFFF"/>
      <name val="Carlito"/>
    </font>
    <font>
      <b/>
      <sz val="12"/>
      <color rgb="FF17324D"/>
      <name val="Carlito"/>
    </font>
    <font>
      <b/>
      <sz val="11"/>
      <color rgb="FF1F2933"/>
      <name val="Carlito"/>
    </font>
    <font>
      <b/>
      <sz val="14"/>
      <color rgb="FF17324D"/>
      <name val="Carlito"/>
    </font>
    <font>
      <b/>
      <sz val="11"/>
      <color rgb="FF17324D"/>
      <name val="Carlito"/>
    </font>
    <font>
      <sz val="11"/>
      <name val="Carlito"/>
    </font>
    <font>
      <sz val="6"/>
      <name val="ＭＳ Ｐ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B8A"/>
      </patternFill>
    </fill>
    <fill>
      <patternFill patternType="solid">
        <fgColor rgb="FF2B7A78"/>
      </patternFill>
    </fill>
    <fill>
      <patternFill patternType="solid">
        <fgColor rgb="FFEAF2F8"/>
      </patternFill>
    </fill>
    <fill>
      <patternFill patternType="solid">
        <fgColor rgb="FFF3F5F7"/>
      </patternFill>
    </fill>
    <fill>
      <patternFill patternType="solid">
        <fgColor rgb="FFFFFFFF"/>
      </patternFill>
    </fill>
    <fill>
      <patternFill patternType="solid">
        <fgColor rgb="FFE8F4F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22">
    <xf numFmtId="0" fontId="0" fillId="0" borderId="0" xfId="0"/>
    <xf numFmtId="0" fontId="1" fillId="2" borderId="0" xfId="1" applyFont="1" applyFill="1" applyAlignment="1">
      <alignment horizontal="center"/>
    </xf>
    <xf numFmtId="0" fontId="0" fillId="0" borderId="0" xfId="1" applyFont="1" applyAlignment="1">
      <alignment wrapText="1"/>
    </xf>
    <xf numFmtId="0" fontId="1" fillId="3" borderId="0" xfId="1" applyFont="1" applyFill="1" applyAlignment="1">
      <alignment horizontal="center" vertical="top" wrapText="1"/>
    </xf>
    <xf numFmtId="0" fontId="0" fillId="0" borderId="0" xfId="1" applyFont="1" applyAlignment="1">
      <alignment vertical="top" wrapText="1"/>
    </xf>
    <xf numFmtId="9" fontId="0" fillId="0" borderId="0" xfId="1" applyNumberFormat="1" applyFont="1" applyAlignment="1">
      <alignment vertical="top" wrapText="1"/>
    </xf>
    <xf numFmtId="0" fontId="1" fillId="4" borderId="0" xfId="1" applyFont="1" applyFill="1" applyAlignment="1">
      <alignment horizontal="center" vertical="top" wrapText="1"/>
    </xf>
    <xf numFmtId="0" fontId="0" fillId="0" borderId="0" xfId="1" applyFont="1" applyAlignment="1">
      <alignment vertical="top"/>
    </xf>
    <xf numFmtId="0" fontId="5" fillId="6" borderId="0" xfId="1" applyFont="1" applyFill="1" applyAlignment="1">
      <alignment vertical="top"/>
    </xf>
    <xf numFmtId="0" fontId="6" fillId="7" borderId="0" xfId="1" applyFont="1" applyFill="1" applyAlignment="1">
      <alignment horizontal="center" vertical="top"/>
    </xf>
    <xf numFmtId="9" fontId="6" fillId="7" borderId="0" xfId="1" applyNumberFormat="1" applyFont="1" applyFill="1" applyAlignment="1">
      <alignment horizontal="center" vertical="top"/>
    </xf>
    <xf numFmtId="0" fontId="1" fillId="4" borderId="0" xfId="1" applyFont="1" applyFill="1" applyAlignment="1">
      <alignment horizontal="center" vertical="top"/>
    </xf>
    <xf numFmtId="0" fontId="1" fillId="3" borderId="0" xfId="1" applyFont="1" applyFill="1" applyAlignment="1">
      <alignment horizontal="center" vertical="top"/>
    </xf>
    <xf numFmtId="9" fontId="0" fillId="0" borderId="0" xfId="1" applyNumberFormat="1" applyFont="1" applyAlignment="1">
      <alignment vertical="top"/>
    </xf>
    <xf numFmtId="0" fontId="5" fillId="6" borderId="0" xfId="1" applyFont="1" applyFill="1" applyAlignment="1">
      <alignment vertical="top" wrapText="1"/>
    </xf>
    <xf numFmtId="0" fontId="0" fillId="0" borderId="0" xfId="1" applyFont="1" applyAlignment="1">
      <alignment vertical="top" wrapText="1"/>
    </xf>
    <xf numFmtId="0" fontId="3" fillId="2" borderId="0" xfId="1" applyFont="1" applyFill="1"/>
    <xf numFmtId="0" fontId="0" fillId="0" borderId="0" xfId="0"/>
    <xf numFmtId="0" fontId="4" fillId="5" borderId="0" xfId="1" applyFont="1" applyFill="1" applyAlignment="1">
      <alignment vertical="top"/>
    </xf>
    <xf numFmtId="0" fontId="0" fillId="0" borderId="0" xfId="1" applyFont="1" applyAlignment="1">
      <alignment vertical="top"/>
    </xf>
    <xf numFmtId="0" fontId="7" fillId="8" borderId="0" xfId="1" applyFont="1" applyFill="1" applyAlignment="1">
      <alignment vertical="top"/>
    </xf>
    <xf numFmtId="0" fontId="2" fillId="2" borderId="0" xfId="1" applyFont="1" applyFill="1"/>
  </cellXfs>
  <cellStyles count="2">
    <cellStyle name="Normal" xfId="1" xr:uid="{00000000-0005-0000-0000-000000000000}"/>
    <cellStyle name="標準" xfId="0" builtinId="0"/>
  </cellStyles>
  <dxfs count="11">
    <dxf>
      <fill>
        <patternFill>
          <bgColor rgb="FFFDE2E2"/>
        </patternFill>
      </fill>
    </dxf>
    <dxf>
      <fill>
        <patternFill>
          <bgColor rgb="FFFFF4CC"/>
        </patternFill>
      </fill>
    </dxf>
    <dxf>
      <fill>
        <patternFill>
          <bgColor rgb="FFDDF4E7"/>
        </patternFill>
      </fill>
    </dxf>
    <dxf>
      <fill>
        <patternFill>
          <bgColor rgb="FFFDE2E2"/>
        </patternFill>
      </fill>
    </dxf>
    <dxf>
      <fill>
        <patternFill>
          <bgColor rgb="FFFFF4CC"/>
        </patternFill>
      </fill>
    </dxf>
    <dxf>
      <fill>
        <patternFill>
          <bgColor rgb="FFDDF4E7"/>
        </patternFill>
      </fill>
    </dxf>
    <dxf>
      <fill>
        <patternFill>
          <bgColor rgb="FFFDE2E2"/>
        </patternFill>
      </fill>
    </dxf>
    <dxf>
      <fill>
        <patternFill>
          <bgColor rgb="FFFFF4CC"/>
        </patternFill>
      </fill>
    </dxf>
    <dxf>
      <fill>
        <patternFill>
          <bgColor rgb="FFDDF4E7"/>
        </patternFill>
      </fill>
    </dxf>
    <dxf>
      <fill>
        <patternFill>
          <bgColor rgb="FFFFF4CC"/>
        </patternFill>
      </fill>
    </dxf>
    <dxf>
      <font>
        <b/>
      </font>
      <fill>
        <patternFill>
          <bgColor rgb="FFFD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/>
          <a:lstStyle/>
          <a:p>
            <a:r>
              <a:rPr lang="en-US"/>
              <a:t>Phase Completion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Tasks</c:v>
          </c:tx>
          <c:invertIfNegative val="1"/>
          <c:cat>
            <c:strRef>
              <c:f>Summary!$A$12:$A$24</c:f>
              <c:strCache>
                <c:ptCount val="13"/>
                <c:pt idx="0">
                  <c:v>Phase 0: Project Foundation</c:v>
                </c:pt>
                <c:pt idx="1">
                  <c:v>Phase 1: Basic Design</c:v>
                </c:pt>
                <c:pt idx="2">
                  <c:v>Phase 2: Development Environment</c:v>
                </c:pt>
                <c:pt idx="3">
                  <c:v>Phase 3: Backend / Database</c:v>
                </c:pt>
                <c:pt idx="4">
                  <c:v>Phase 4: Backend API</c:v>
                </c:pt>
                <c:pt idx="5">
                  <c:v>Phase 5: Lab Infrastructure</c:v>
                </c:pt>
                <c:pt idx="6">
                  <c:v>Phase 6: Lab Controller</c:v>
                </c:pt>
                <c:pt idx="7">
                  <c:v>Phase 7: Frontend</c:v>
                </c:pt>
                <c:pt idx="8">
                  <c:v>Phase 8: Mission 01 Content</c:v>
                </c:pt>
                <c:pt idx="9">
                  <c:v>Phase 9: Testing</c:v>
                </c:pt>
                <c:pt idx="10">
                  <c:v>Phase 10: Security Assessment</c:v>
                </c:pt>
                <c:pt idx="11">
                  <c:v>Phase 11: Documentation</c:v>
                </c:pt>
                <c:pt idx="12">
                  <c:v>Phase 12: MVP Acceptance</c:v>
                </c:pt>
              </c:strCache>
            </c:strRef>
          </c:cat>
          <c:val>
            <c:numRef>
              <c:f>Summary!$B$12:$B$24</c:f>
              <c:numCache>
                <c:formatCode>General</c:formatCode>
                <c:ptCount val="13"/>
                <c:pt idx="0">
                  <c:v>4</c:v>
                </c:pt>
                <c:pt idx="1">
                  <c:v>6</c:v>
                </c:pt>
                <c:pt idx="2">
                  <c:v>5</c:v>
                </c:pt>
                <c:pt idx="3">
                  <c:v>6</c:v>
                </c:pt>
                <c:pt idx="4">
                  <c:v>5</c:v>
                </c:pt>
                <c:pt idx="5">
                  <c:v>8</c:v>
                </c:pt>
                <c:pt idx="6">
                  <c:v>5</c:v>
                </c:pt>
                <c:pt idx="7">
                  <c:v>10</c:v>
                </c:pt>
                <c:pt idx="8">
                  <c:v>8</c:v>
                </c:pt>
                <c:pt idx="9">
                  <c:v>6</c:v>
                </c:pt>
                <c:pt idx="10">
                  <c:v>7</c:v>
                </c:pt>
                <c:pt idx="11">
                  <c:v>5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44-4F37-B965-1F58913594EC}"/>
            </c:ext>
          </c:extLst>
        </c:ser>
        <c:ser>
          <c:idx val="1"/>
          <c:order val="1"/>
          <c:tx>
            <c:v>Done</c:v>
          </c:tx>
          <c:invertIfNegative val="1"/>
          <c:cat>
            <c:strRef>
              <c:f>Summary!$A$12:$A$24</c:f>
              <c:strCache>
                <c:ptCount val="13"/>
                <c:pt idx="0">
                  <c:v>Phase 0: Project Foundation</c:v>
                </c:pt>
                <c:pt idx="1">
                  <c:v>Phase 1: Basic Design</c:v>
                </c:pt>
                <c:pt idx="2">
                  <c:v>Phase 2: Development Environment</c:v>
                </c:pt>
                <c:pt idx="3">
                  <c:v>Phase 3: Backend / Database</c:v>
                </c:pt>
                <c:pt idx="4">
                  <c:v>Phase 4: Backend API</c:v>
                </c:pt>
                <c:pt idx="5">
                  <c:v>Phase 5: Lab Infrastructure</c:v>
                </c:pt>
                <c:pt idx="6">
                  <c:v>Phase 6: Lab Controller</c:v>
                </c:pt>
                <c:pt idx="7">
                  <c:v>Phase 7: Frontend</c:v>
                </c:pt>
                <c:pt idx="8">
                  <c:v>Phase 8: Mission 01 Content</c:v>
                </c:pt>
                <c:pt idx="9">
                  <c:v>Phase 9: Testing</c:v>
                </c:pt>
                <c:pt idx="10">
                  <c:v>Phase 10: Security Assessment</c:v>
                </c:pt>
                <c:pt idx="11">
                  <c:v>Phase 11: Documentation</c:v>
                </c:pt>
                <c:pt idx="12">
                  <c:v>Phase 12: MVP Acceptance</c:v>
                </c:pt>
              </c:strCache>
            </c:strRef>
          </c:cat>
          <c:val>
            <c:numRef>
              <c:f>Summary!$C$12:$C$24</c:f>
              <c:numCache>
                <c:formatCode>General</c:formatCode>
                <c:ptCount val="13"/>
                <c:pt idx="0">
                  <c:v>4</c:v>
                </c:pt>
                <c:pt idx="1">
                  <c:v>6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  <c:pt idx="5">
                  <c:v>8</c:v>
                </c:pt>
                <c:pt idx="6">
                  <c:v>5</c:v>
                </c:pt>
                <c:pt idx="7">
                  <c:v>10</c:v>
                </c:pt>
                <c:pt idx="8">
                  <c:v>8</c:v>
                </c:pt>
                <c:pt idx="9">
                  <c:v>6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44-4F37-B965-1F58913594EC}"/>
            </c:ext>
          </c:extLst>
        </c:ser>
        <c:ser>
          <c:idx val="2"/>
          <c:order val="2"/>
          <c:tx>
            <c:v>Completion</c:v>
          </c:tx>
          <c:invertIfNegative val="1"/>
          <c:cat>
            <c:strRef>
              <c:f>Summary!$A$12:$A$24</c:f>
              <c:strCache>
                <c:ptCount val="13"/>
                <c:pt idx="0">
                  <c:v>Phase 0: Project Foundation</c:v>
                </c:pt>
                <c:pt idx="1">
                  <c:v>Phase 1: Basic Design</c:v>
                </c:pt>
                <c:pt idx="2">
                  <c:v>Phase 2: Development Environment</c:v>
                </c:pt>
                <c:pt idx="3">
                  <c:v>Phase 3: Backend / Database</c:v>
                </c:pt>
                <c:pt idx="4">
                  <c:v>Phase 4: Backend API</c:v>
                </c:pt>
                <c:pt idx="5">
                  <c:v>Phase 5: Lab Infrastructure</c:v>
                </c:pt>
                <c:pt idx="6">
                  <c:v>Phase 6: Lab Controller</c:v>
                </c:pt>
                <c:pt idx="7">
                  <c:v>Phase 7: Frontend</c:v>
                </c:pt>
                <c:pt idx="8">
                  <c:v>Phase 8: Mission 01 Content</c:v>
                </c:pt>
                <c:pt idx="9">
                  <c:v>Phase 9: Testing</c:v>
                </c:pt>
                <c:pt idx="10">
                  <c:v>Phase 10: Security Assessment</c:v>
                </c:pt>
                <c:pt idx="11">
                  <c:v>Phase 11: Documentation</c:v>
                </c:pt>
                <c:pt idx="12">
                  <c:v>Phase 12: MVP Acceptance</c:v>
                </c:pt>
              </c:strCache>
            </c:strRef>
          </c:cat>
          <c:val>
            <c:numRef>
              <c:f>Summary!$D$12:$D$24</c:f>
              <c:numCache>
                <c:formatCode>0%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0.8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0.2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44-4F37-B965-1F5891359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24</xdr:row>
      <xdr:rowOff>0</xdr:rowOff>
    </xdr:from>
    <xdr:to>
      <xdr:col>13</xdr:col>
      <xdr:colOff>0</xdr:colOff>
      <xdr:row>43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bsTable" displayName="WbsTable" ref="A3:M79" totalsRowShown="0">
  <tableColumns count="13">
    <tableColumn id="1" xr3:uid="{00000000-0010-0000-0000-000001000000}" name="WBS ID"/>
    <tableColumn id="2" xr3:uid="{00000000-0010-0000-0000-000002000000}" name="Phase"/>
    <tableColumn id="3" xr3:uid="{00000000-0010-0000-0000-000003000000}" name="Task"/>
    <tableColumn id="4" xr3:uid="{00000000-0010-0000-0000-000004000000}" name="概要"/>
    <tableColumn id="5" xr3:uid="{00000000-0010-0000-0000-000005000000}" name="Owner"/>
    <tableColumn id="6" xr3:uid="{00000000-0010-0000-0000-000006000000}" name="Priority"/>
    <tableColumn id="7" xr3:uid="{00000000-0010-0000-0000-000007000000}" name="Depends On"/>
    <tableColumn id="8" xr3:uid="{00000000-0010-0000-0000-000008000000}" name="Deliverable"/>
    <tableColumn id="9" xr3:uid="{00000000-0010-0000-0000-000009000000}" name="Acceptance Criteria"/>
    <tableColumn id="10" xr3:uid="{00000000-0010-0000-0000-00000A000000}" name="予定開始"/>
    <tableColumn id="11" xr3:uid="{00000000-0010-0000-0000-00000B000000}" name="予定完了"/>
    <tableColumn id="12" xr3:uid="{00000000-0010-0000-0000-00000C000000}" name="Status"/>
    <tableColumn id="13" xr3:uid="{00000000-0010-0000-0000-00000D000000}" name="Progres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IssuesTable" displayName="IssuesTable" ref="A3:J32" totalsRowShown="0">
  <tableColumns count="10">
    <tableColumn id="1" xr3:uid="{00000000-0010-0000-0100-000001000000}" name="Issue ID"/>
    <tableColumn id="2" xr3:uid="{00000000-0010-0000-0100-000002000000}" name="Issue"/>
    <tableColumn id="3" xr3:uid="{00000000-0010-0000-0100-000003000000}" name="実装目的 / Scope"/>
    <tableColumn id="4" xr3:uid="{00000000-0010-0000-0100-000004000000}" name="Phase"/>
    <tableColumn id="5" xr3:uid="{00000000-0010-0000-0100-000005000000}" name="Priority"/>
    <tableColumn id="6" xr3:uid="{00000000-0010-0000-0100-000006000000}" name="Depends On"/>
    <tableColumn id="7" xr3:uid="{00000000-0010-0000-0100-000007000000}" name="Owner"/>
    <tableColumn id="8" xr3:uid="{00000000-0010-0000-0100-000008000000}" name="Acceptance Criteria"/>
    <tableColumn id="9" xr3:uid="{00000000-0010-0000-0100-000009000000}" name="Status"/>
    <tableColumn id="10" xr3:uid="{00000000-0010-0000-0100-00000A000000}" name="Progres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ilestonesTable" displayName="MilestonesTable" ref="A3:G11" totalsRowShown="0">
  <tableColumns count="7">
    <tableColumn id="1" xr3:uid="{00000000-0010-0000-0200-000001000000}" name="ID"/>
    <tableColumn id="2" xr3:uid="{00000000-0010-0000-0200-000002000000}" name="Milestone"/>
    <tableColumn id="3" xr3:uid="{00000000-0010-0000-0200-000003000000}" name="Definition"/>
    <tableColumn id="4" xr3:uid="{00000000-0010-0000-0200-000004000000}" name="Related Phase"/>
    <tableColumn id="5" xr3:uid="{00000000-0010-0000-0200-000005000000}" name="Exit Criteria"/>
    <tableColumn id="6" xr3:uid="{00000000-0010-0000-0200-000006000000}" name="Status"/>
    <tableColumn id="7" xr3:uid="{00000000-0010-0000-0200-000007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opLeftCell="A10" workbookViewId="0">
      <selection sqref="A1:H1"/>
    </sheetView>
  </sheetViews>
  <sheetFormatPr defaultRowHeight="14.25"/>
  <cols>
    <col min="1" max="1" width="30" customWidth="1"/>
    <col min="2" max="5" width="15" customWidth="1"/>
    <col min="6" max="8" width="18" customWidth="1"/>
  </cols>
  <sheetData>
    <row r="1" spans="1:8" ht="33.950000000000003" customHeight="1">
      <c r="A1" s="16" t="s">
        <v>0</v>
      </c>
      <c r="B1" s="17"/>
      <c r="C1" s="17"/>
      <c r="D1" s="17"/>
      <c r="E1" s="17"/>
      <c r="F1" s="17"/>
      <c r="G1" s="17"/>
      <c r="H1" s="17"/>
    </row>
    <row r="3" spans="1:8" ht="15.75">
      <c r="A3" s="18" t="s">
        <v>1</v>
      </c>
      <c r="B3" s="19"/>
      <c r="C3" s="19"/>
      <c r="D3" s="19"/>
      <c r="E3" s="19"/>
      <c r="F3" s="19"/>
      <c r="G3" s="19"/>
      <c r="H3" s="19"/>
    </row>
    <row r="4" spans="1:8" ht="18">
      <c r="A4" s="8" t="s">
        <v>2</v>
      </c>
      <c r="B4" s="9">
        <f>COUNTA(WBS!A4:A79)</f>
        <v>76</v>
      </c>
      <c r="C4" s="7"/>
      <c r="D4" s="8" t="s">
        <v>3</v>
      </c>
      <c r="E4" s="9">
        <f>COUNTA('Codex Issues'!A4:A32)</f>
        <v>29</v>
      </c>
      <c r="F4" s="7"/>
      <c r="G4" s="7"/>
      <c r="H4" s="7"/>
    </row>
    <row r="5" spans="1:8" ht="18">
      <c r="A5" s="8" t="s">
        <v>4</v>
      </c>
      <c r="B5" s="9">
        <f>COUNTIF(WBS!L4:L79,"Done")</f>
        <v>63</v>
      </c>
      <c r="C5" s="7"/>
      <c r="D5" s="8" t="s">
        <v>5</v>
      </c>
      <c r="E5" s="9">
        <f>COUNTIF('Codex Issues'!I4:I32,"Done")</f>
        <v>25</v>
      </c>
      <c r="F5" s="7"/>
      <c r="G5" s="7"/>
      <c r="H5" s="7"/>
    </row>
    <row r="6" spans="1:8" ht="18">
      <c r="A6" s="8" t="s">
        <v>6</v>
      </c>
      <c r="B6" s="9">
        <f>COUNTIF(WBS!L4:L79,"In Progress")</f>
        <v>3</v>
      </c>
      <c r="C6" s="7"/>
      <c r="D6" s="8" t="s">
        <v>7</v>
      </c>
      <c r="E6" s="9">
        <f>COUNTIF('Codex Issues'!E4:E32,"P0")</f>
        <v>26</v>
      </c>
      <c r="F6" s="7"/>
      <c r="G6" s="7"/>
      <c r="H6" s="7"/>
    </row>
    <row r="7" spans="1:8" ht="18">
      <c r="A7" s="8" t="s">
        <v>8</v>
      </c>
      <c r="B7" s="9">
        <f>COUNTIF(WBS!L4:L79,"Blocked")</f>
        <v>0</v>
      </c>
      <c r="C7" s="7"/>
      <c r="D7" s="8" t="s">
        <v>9</v>
      </c>
      <c r="E7" s="9">
        <f>COUNTA(Milestones!A4:A11)</f>
        <v>8</v>
      </c>
      <c r="F7" s="7"/>
      <c r="G7" s="7"/>
      <c r="H7" s="7"/>
    </row>
    <row r="8" spans="1:8" ht="18">
      <c r="A8" s="8" t="s">
        <v>10</v>
      </c>
      <c r="B8" s="10">
        <f>AVERAGE(WBS!M4:M79)</f>
        <v>0.84868421052631582</v>
      </c>
      <c r="C8" s="7"/>
      <c r="D8" s="8" t="s">
        <v>11</v>
      </c>
      <c r="E8" s="9">
        <f>COUNTIF(Milestones!F4:F11,"Done")</f>
        <v>6</v>
      </c>
      <c r="F8" s="7"/>
      <c r="G8" s="7"/>
      <c r="H8" s="7"/>
    </row>
    <row r="9" spans="1:8">
      <c r="A9" s="7"/>
      <c r="B9" s="7"/>
      <c r="C9" s="7"/>
      <c r="D9" s="7"/>
      <c r="E9" s="7"/>
      <c r="F9" s="7"/>
      <c r="G9" s="7"/>
      <c r="H9" s="7"/>
    </row>
    <row r="10" spans="1:8">
      <c r="A10" s="7"/>
      <c r="B10" s="7"/>
      <c r="C10" s="7"/>
      <c r="D10" s="7"/>
      <c r="E10" s="7"/>
      <c r="F10" s="7"/>
      <c r="G10" s="7"/>
      <c r="H10" s="7"/>
    </row>
    <row r="11" spans="1:8" ht="15">
      <c r="A11" s="11" t="s">
        <v>12</v>
      </c>
      <c r="B11" s="11" t="s">
        <v>13</v>
      </c>
      <c r="C11" s="11" t="s">
        <v>4</v>
      </c>
      <c r="D11" s="11" t="s">
        <v>14</v>
      </c>
      <c r="E11" s="7"/>
      <c r="F11" s="12" t="s">
        <v>15</v>
      </c>
      <c r="G11" s="12" t="s">
        <v>16</v>
      </c>
      <c r="H11" s="12" t="s">
        <v>17</v>
      </c>
    </row>
    <row r="12" spans="1:8">
      <c r="A12" s="7" t="s">
        <v>18</v>
      </c>
      <c r="B12" s="7">
        <f>COUNTIF(WBS!B4:B79,A12)</f>
        <v>4</v>
      </c>
      <c r="C12" s="7">
        <f>COUNTIFS(WBS!B4:B79,A12,WBS!L4:L79,"Done")</f>
        <v>4</v>
      </c>
      <c r="D12" s="13">
        <f t="shared" ref="D12:D24" si="0">IF(B12=0,0,C12/B12)</f>
        <v>1</v>
      </c>
      <c r="E12" s="7"/>
      <c r="F12" s="7" t="s">
        <v>19</v>
      </c>
      <c r="G12" s="7">
        <f>COUNTIF(WBS!F4:F79,F12)</f>
        <v>58</v>
      </c>
      <c r="H12" s="7">
        <f>COUNTIF('Codex Issues'!E4:E32,F12)</f>
        <v>26</v>
      </c>
    </row>
    <row r="13" spans="1:8">
      <c r="A13" s="7" t="s">
        <v>20</v>
      </c>
      <c r="B13" s="7">
        <f>COUNTIF(WBS!B4:B79,A13)</f>
        <v>6</v>
      </c>
      <c r="C13" s="7">
        <f>COUNTIFS(WBS!B4:B79,A13,WBS!L4:L79,"Done")</f>
        <v>6</v>
      </c>
      <c r="D13" s="13">
        <f t="shared" si="0"/>
        <v>1</v>
      </c>
      <c r="E13" s="7"/>
      <c r="F13" s="7" t="s">
        <v>21</v>
      </c>
      <c r="G13" s="7">
        <f>COUNTIF(WBS!F4:F79,F13)</f>
        <v>18</v>
      </c>
      <c r="H13" s="7">
        <f>COUNTIF('Codex Issues'!E4:E32,F13)</f>
        <v>3</v>
      </c>
    </row>
    <row r="14" spans="1:8">
      <c r="A14" s="7" t="s">
        <v>22</v>
      </c>
      <c r="B14" s="7">
        <f>COUNTIF(WBS!B4:B79,A14)</f>
        <v>5</v>
      </c>
      <c r="C14" s="7">
        <f>COUNTIFS(WBS!B4:B79,A14,WBS!L4:L79,"Done")</f>
        <v>4</v>
      </c>
      <c r="D14" s="13">
        <f t="shared" si="0"/>
        <v>0.8</v>
      </c>
      <c r="E14" s="7"/>
      <c r="F14" s="7" t="s">
        <v>23</v>
      </c>
      <c r="G14" s="7">
        <f>COUNTIF(WBS!F4:F79,F14)</f>
        <v>0</v>
      </c>
      <c r="H14" s="7">
        <f>COUNTIF('Codex Issues'!E4:E32,F14)</f>
        <v>0</v>
      </c>
    </row>
    <row r="15" spans="1:8">
      <c r="A15" s="7" t="s">
        <v>24</v>
      </c>
      <c r="B15" s="7">
        <f>COUNTIF(WBS!B4:B79,A15)</f>
        <v>6</v>
      </c>
      <c r="C15" s="7">
        <f>COUNTIFS(WBS!B4:B79,A15,WBS!L4:L79,"Done")</f>
        <v>6</v>
      </c>
      <c r="D15" s="13">
        <f t="shared" si="0"/>
        <v>1</v>
      </c>
      <c r="E15" s="7"/>
      <c r="F15" s="7" t="s">
        <v>653</v>
      </c>
      <c r="G15" s="7" t="str">
        <f>IF(Milestones!F9="Done",'Codex Issues'!D30,'Codex Issues'!D26)</f>
        <v>Phase 10</v>
      </c>
      <c r="H15" s="7"/>
    </row>
    <row r="16" spans="1:8">
      <c r="A16" s="7" t="s">
        <v>25</v>
      </c>
      <c r="B16" s="7">
        <f>COUNTIF(WBS!B4:B79,A16)</f>
        <v>5</v>
      </c>
      <c r="C16" s="7">
        <f>COUNTIFS(WBS!B4:B79,A16,WBS!L4:L79,"Done")</f>
        <v>5</v>
      </c>
      <c r="D16" s="13">
        <f t="shared" si="0"/>
        <v>1</v>
      </c>
      <c r="E16" s="7"/>
      <c r="F16" s="7" t="s">
        <v>654</v>
      </c>
      <c r="G16" s="7" t="str">
        <f>IF(Milestones!F9="Done",'Codex Issues'!A30,'Codex Issues'!A26)</f>
        <v>ISSUE-027</v>
      </c>
      <c r="H16" s="7"/>
    </row>
    <row r="17" spans="1:8" ht="15">
      <c r="A17" s="7" t="s">
        <v>26</v>
      </c>
      <c r="B17" s="7">
        <f>COUNTIF(WBS!B4:B79,A17)</f>
        <v>8</v>
      </c>
      <c r="C17" s="7">
        <f>COUNTIFS(WBS!B4:B79,A17,WBS!L4:L79,"Done")</f>
        <v>8</v>
      </c>
      <c r="D17" s="13">
        <f t="shared" si="0"/>
        <v>1</v>
      </c>
      <c r="E17" s="7"/>
      <c r="F17" s="20" t="s">
        <v>27</v>
      </c>
      <c r="G17" s="19"/>
      <c r="H17" s="19"/>
    </row>
    <row r="18" spans="1:8">
      <c r="A18" s="7" t="s">
        <v>28</v>
      </c>
      <c r="B18" s="7">
        <f>COUNTIF(WBS!B4:B79,A18)</f>
        <v>5</v>
      </c>
      <c r="C18" s="7">
        <f>COUNTIFS(WBS!B4:B79,A18,WBS!L4:L79,"Done")</f>
        <v>5</v>
      </c>
      <c r="D18" s="13">
        <f t="shared" si="0"/>
        <v>1</v>
      </c>
      <c r="E18" s="7"/>
      <c r="F18" s="14" t="s">
        <v>29</v>
      </c>
      <c r="G18" s="15"/>
      <c r="H18" s="15"/>
    </row>
    <row r="19" spans="1:8">
      <c r="A19" s="7" t="s">
        <v>30</v>
      </c>
      <c r="B19" s="7">
        <f>COUNTIF(WBS!B4:B79,A19)</f>
        <v>10</v>
      </c>
      <c r="C19" s="7">
        <f>COUNTIFS(WBS!B4:B79,A19,WBS!L4:L79,"Done")</f>
        <v>10</v>
      </c>
      <c r="D19" s="13">
        <f t="shared" si="0"/>
        <v>1</v>
      </c>
      <c r="E19" s="7"/>
      <c r="F19" s="15" t="s">
        <v>31</v>
      </c>
      <c r="G19" s="15"/>
      <c r="H19" s="15"/>
    </row>
    <row r="20" spans="1:8">
      <c r="A20" s="7" t="s">
        <v>32</v>
      </c>
      <c r="B20" s="7">
        <f>COUNTIF(WBS!B4:B79,A20)</f>
        <v>8</v>
      </c>
      <c r="C20" s="7">
        <f>COUNTIFS(WBS!B4:B79,A20,WBS!L4:L79,"Done")</f>
        <v>8</v>
      </c>
      <c r="D20" s="13">
        <f t="shared" si="0"/>
        <v>1</v>
      </c>
      <c r="E20" s="7"/>
      <c r="F20" s="14" t="s">
        <v>33</v>
      </c>
      <c r="G20" s="15"/>
      <c r="H20" s="15"/>
    </row>
    <row r="21" spans="1:8">
      <c r="A21" s="7" t="s">
        <v>34</v>
      </c>
      <c r="B21" s="7">
        <f>COUNTIF(WBS!B4:B79,A21)</f>
        <v>6</v>
      </c>
      <c r="C21" s="7">
        <f>COUNTIFS(WBS!B4:B79,A21,WBS!L4:L79,"Done")</f>
        <v>6</v>
      </c>
      <c r="D21" s="13">
        <f t="shared" si="0"/>
        <v>1</v>
      </c>
      <c r="E21" s="7"/>
      <c r="F21" s="15" t="s">
        <v>35</v>
      </c>
      <c r="G21" s="15"/>
      <c r="H21" s="15"/>
    </row>
    <row r="22" spans="1:8">
      <c r="A22" s="7" t="s">
        <v>36</v>
      </c>
      <c r="B22" s="7">
        <f>COUNTIF(WBS!B4:B79,A22)</f>
        <v>7</v>
      </c>
      <c r="C22" s="7">
        <f>COUNTIFS(WBS!B4:B79,A22,WBS!L4:L79,"Done")</f>
        <v>0</v>
      </c>
      <c r="D22" s="13">
        <f t="shared" si="0"/>
        <v>0</v>
      </c>
      <c r="E22" s="7"/>
      <c r="F22" s="14" t="s">
        <v>37</v>
      </c>
      <c r="G22" s="15"/>
      <c r="H22" s="15"/>
    </row>
    <row r="23" spans="1:8">
      <c r="A23" s="7" t="s">
        <v>38</v>
      </c>
      <c r="B23" s="7">
        <f>COUNTIF(WBS!B4:B79,A23)</f>
        <v>5</v>
      </c>
      <c r="C23" s="7">
        <f>COUNTIFS(WBS!B4:B79,A23,WBS!L4:L79,"Done")</f>
        <v>1</v>
      </c>
      <c r="D23" s="13">
        <f t="shared" si="0"/>
        <v>0.2</v>
      </c>
      <c r="E23" s="7"/>
      <c r="F23" s="15" t="s">
        <v>39</v>
      </c>
      <c r="G23" s="15"/>
      <c r="H23" s="15"/>
    </row>
    <row r="24" spans="1:8">
      <c r="A24" s="7" t="s">
        <v>40</v>
      </c>
      <c r="B24" s="7">
        <f>COUNTIF(WBS!B4:B79,A24)</f>
        <v>1</v>
      </c>
      <c r="C24" s="7">
        <f>COUNTIFS(WBS!B4:B79,A24,WBS!L4:L79,"Done")</f>
        <v>0</v>
      </c>
      <c r="D24" s="13">
        <f t="shared" si="0"/>
        <v>0</v>
      </c>
      <c r="E24" s="7"/>
      <c r="F24" s="7"/>
      <c r="G24" s="7"/>
      <c r="H24" s="7"/>
    </row>
  </sheetData>
  <mergeCells count="9">
    <mergeCell ref="F20:H20"/>
    <mergeCell ref="F21:H21"/>
    <mergeCell ref="F22:H22"/>
    <mergeCell ref="F23:H23"/>
    <mergeCell ref="A1:H1"/>
    <mergeCell ref="A3:H3"/>
    <mergeCell ref="F17:H17"/>
    <mergeCell ref="F18:H18"/>
    <mergeCell ref="F19:H19"/>
  </mergeCells>
  <phoneticPr fontId="9"/>
  <conditionalFormatting sqref="D12:D24">
    <cfRule type="dataBar" priority="1">
      <dataBar>
        <cfvo type="min"/>
        <cfvo type="max"/>
        <color rgb="FF2B7A78"/>
      </dataBar>
    </cfRule>
    <cfRule type="dataBar" priority="2">
      <dataBar>
        <cfvo type="min"/>
        <cfvo type="max"/>
        <color rgb="FF2B7A78"/>
      </dataBar>
    </cfRule>
    <cfRule type="dataBar" priority="3">
      <dataBar>
        <cfvo type="min"/>
        <cfvo type="max"/>
        <color rgb="FF2B7A78"/>
      </dataBar>
      <extLst>
        <ext xmlns:x14="http://schemas.microsoft.com/office/spreadsheetml/2009/9/main" uri="{B025F937-C7B1-47D3-B67F-A62EFF666E3E}">
          <x14:id>{8213237C-262D-8CED-9257-E0A72B4BD1FC}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13237C-262D-8CED-9257-E0A72B4BD1FC}">
            <x14:dataBar>
              <x14:cfvo type="min"/>
              <x14:cfvo type="max"/>
              <x14:negativeFillColor auto="1"/>
              <x14:axisColor auto="1"/>
            </x14:dataBar>
          </x14:cfRule>
          <xm:sqref>D12:D24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9"/>
  <sheetViews>
    <sheetView workbookViewId="0"/>
  </sheetViews>
  <sheetFormatPr defaultRowHeight="14.25"/>
  <cols>
    <col min="1" max="1" width="10" customWidth="1"/>
    <col min="2" max="3" width="28" customWidth="1"/>
    <col min="4" max="4" width="42" customWidth="1"/>
    <col min="5" max="5" width="22" customWidth="1"/>
    <col min="6" max="6" width="10" customWidth="1"/>
    <col min="7" max="7" width="20" customWidth="1"/>
    <col min="8" max="8" width="28" customWidth="1"/>
    <col min="9" max="9" width="42" customWidth="1"/>
    <col min="10" max="11" width="13" customWidth="1"/>
    <col min="12" max="12" width="15" customWidth="1"/>
    <col min="13" max="13" width="12" customWidth="1"/>
  </cols>
  <sheetData>
    <row r="1" spans="1:13" ht="30" customHeight="1">
      <c r="A1" s="21" t="s">
        <v>41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3" spans="1:13" ht="27.95" customHeight="1">
      <c r="A3" s="3" t="s">
        <v>42</v>
      </c>
      <c r="B3" s="3" t="s">
        <v>12</v>
      </c>
      <c r="C3" s="3" t="s">
        <v>43</v>
      </c>
      <c r="D3" s="3" t="s">
        <v>44</v>
      </c>
      <c r="E3" s="3" t="s">
        <v>45</v>
      </c>
      <c r="F3" s="3" t="s">
        <v>15</v>
      </c>
      <c r="G3" s="3" t="s">
        <v>46</v>
      </c>
      <c r="H3" s="3" t="s">
        <v>47</v>
      </c>
      <c r="I3" s="3" t="s">
        <v>48</v>
      </c>
      <c r="J3" s="3" t="s">
        <v>49</v>
      </c>
      <c r="K3" s="3" t="s">
        <v>50</v>
      </c>
      <c r="L3" s="3" t="s">
        <v>51</v>
      </c>
      <c r="M3" s="3" t="s">
        <v>52</v>
      </c>
    </row>
    <row r="4" spans="1:13" ht="28.5">
      <c r="A4" s="4" t="s">
        <v>53</v>
      </c>
      <c r="B4" s="4" t="s">
        <v>18</v>
      </c>
      <c r="C4" s="4" t="s">
        <v>54</v>
      </c>
      <c r="D4" s="4" t="s">
        <v>55</v>
      </c>
      <c r="E4" s="4" t="s">
        <v>56</v>
      </c>
      <c r="F4" s="4" t="s">
        <v>19</v>
      </c>
      <c r="G4" s="4"/>
      <c r="H4" s="4" t="s">
        <v>57</v>
      </c>
      <c r="I4" s="4" t="s">
        <v>58</v>
      </c>
      <c r="J4" s="4"/>
      <c r="K4" s="4"/>
      <c r="L4" s="4" t="s">
        <v>4</v>
      </c>
      <c r="M4" s="5">
        <f t="shared" ref="M4:M35" si="0">IF(L4="Done",1,IF(L4="In Progress",0.5,IF(L4="Blocked",0.25,0)))</f>
        <v>1</v>
      </c>
    </row>
    <row r="5" spans="1:13" ht="28.5">
      <c r="A5" s="4" t="s">
        <v>59</v>
      </c>
      <c r="B5" s="4" t="s">
        <v>18</v>
      </c>
      <c r="C5" s="4" t="s">
        <v>60</v>
      </c>
      <c r="D5" s="4" t="s">
        <v>61</v>
      </c>
      <c r="E5" s="4" t="s">
        <v>62</v>
      </c>
      <c r="F5" s="4" t="s">
        <v>19</v>
      </c>
      <c r="G5" s="4" t="s">
        <v>53</v>
      </c>
      <c r="H5" s="4" t="s">
        <v>63</v>
      </c>
      <c r="I5" s="4" t="s">
        <v>64</v>
      </c>
      <c r="J5" s="4"/>
      <c r="K5" s="4"/>
      <c r="L5" s="4" t="s">
        <v>4</v>
      </c>
      <c r="M5" s="5">
        <f t="shared" si="0"/>
        <v>1</v>
      </c>
    </row>
    <row r="6" spans="1:13" ht="42.75">
      <c r="A6" s="4" t="s">
        <v>65</v>
      </c>
      <c r="B6" s="4" t="s">
        <v>18</v>
      </c>
      <c r="C6" s="4" t="s">
        <v>66</v>
      </c>
      <c r="D6" s="4" t="s">
        <v>67</v>
      </c>
      <c r="E6" s="4" t="s">
        <v>68</v>
      </c>
      <c r="F6" s="4" t="s">
        <v>19</v>
      </c>
      <c r="G6" s="4" t="s">
        <v>59</v>
      </c>
      <c r="H6" s="4" t="s">
        <v>69</v>
      </c>
      <c r="I6" s="4" t="s">
        <v>70</v>
      </c>
      <c r="J6" s="4"/>
      <c r="K6" s="4"/>
      <c r="L6" s="4" t="s">
        <v>4</v>
      </c>
      <c r="M6" s="5">
        <f t="shared" si="0"/>
        <v>1</v>
      </c>
    </row>
    <row r="7" spans="1:13" ht="28.5">
      <c r="A7" s="4" t="s">
        <v>71</v>
      </c>
      <c r="B7" s="4" t="s">
        <v>18</v>
      </c>
      <c r="C7" s="4" t="s">
        <v>72</v>
      </c>
      <c r="D7" s="4" t="s">
        <v>73</v>
      </c>
      <c r="E7" s="4" t="s">
        <v>74</v>
      </c>
      <c r="F7" s="4" t="s">
        <v>21</v>
      </c>
      <c r="G7" s="4" t="s">
        <v>53</v>
      </c>
      <c r="H7" s="4" t="s">
        <v>75</v>
      </c>
      <c r="I7" s="4" t="s">
        <v>76</v>
      </c>
      <c r="J7" s="4"/>
      <c r="K7" s="4"/>
      <c r="L7" s="4" t="s">
        <v>4</v>
      </c>
      <c r="M7" s="5">
        <f t="shared" si="0"/>
        <v>1</v>
      </c>
    </row>
    <row r="8" spans="1:13" ht="28.5">
      <c r="A8" s="4" t="s">
        <v>77</v>
      </c>
      <c r="B8" s="4" t="s">
        <v>20</v>
      </c>
      <c r="C8" s="4" t="s">
        <v>78</v>
      </c>
      <c r="D8" s="4" t="s">
        <v>79</v>
      </c>
      <c r="E8" s="4" t="s">
        <v>80</v>
      </c>
      <c r="F8" s="4" t="s">
        <v>19</v>
      </c>
      <c r="G8" s="4" t="s">
        <v>65</v>
      </c>
      <c r="H8" s="4" t="s">
        <v>81</v>
      </c>
      <c r="I8" s="4" t="s">
        <v>82</v>
      </c>
      <c r="J8" s="4"/>
      <c r="K8" s="4"/>
      <c r="L8" s="4" t="s">
        <v>4</v>
      </c>
      <c r="M8" s="5">
        <f t="shared" si="0"/>
        <v>1</v>
      </c>
    </row>
    <row r="9" spans="1:13" ht="28.5">
      <c r="A9" s="4" t="s">
        <v>83</v>
      </c>
      <c r="B9" s="4" t="s">
        <v>20</v>
      </c>
      <c r="C9" s="4" t="s">
        <v>84</v>
      </c>
      <c r="D9" s="4" t="s">
        <v>85</v>
      </c>
      <c r="E9" s="4" t="s">
        <v>80</v>
      </c>
      <c r="F9" s="4" t="s">
        <v>21</v>
      </c>
      <c r="G9" s="4" t="s">
        <v>77</v>
      </c>
      <c r="H9" s="4" t="s">
        <v>86</v>
      </c>
      <c r="I9" s="4" t="s">
        <v>87</v>
      </c>
      <c r="J9" s="4"/>
      <c r="K9" s="4"/>
      <c r="L9" s="4" t="s">
        <v>4</v>
      </c>
      <c r="M9" s="5">
        <f t="shared" si="0"/>
        <v>1</v>
      </c>
    </row>
    <row r="10" spans="1:13" ht="28.5">
      <c r="A10" s="4" t="s">
        <v>88</v>
      </c>
      <c r="B10" s="4" t="s">
        <v>20</v>
      </c>
      <c r="C10" s="4" t="s">
        <v>89</v>
      </c>
      <c r="D10" s="4" t="s">
        <v>90</v>
      </c>
      <c r="E10" s="4" t="s">
        <v>80</v>
      </c>
      <c r="F10" s="4" t="s">
        <v>19</v>
      </c>
      <c r="G10" s="4" t="s">
        <v>77</v>
      </c>
      <c r="H10" s="4" t="s">
        <v>91</v>
      </c>
      <c r="I10" s="4" t="s">
        <v>92</v>
      </c>
      <c r="J10" s="4"/>
      <c r="K10" s="4"/>
      <c r="L10" s="4" t="s">
        <v>4</v>
      </c>
      <c r="M10" s="5">
        <f t="shared" si="0"/>
        <v>1</v>
      </c>
    </row>
    <row r="11" spans="1:13" ht="28.5">
      <c r="A11" s="4" t="s">
        <v>93</v>
      </c>
      <c r="B11" s="4" t="s">
        <v>20</v>
      </c>
      <c r="C11" s="4" t="s">
        <v>94</v>
      </c>
      <c r="D11" s="4" t="s">
        <v>95</v>
      </c>
      <c r="E11" s="4" t="s">
        <v>80</v>
      </c>
      <c r="F11" s="4" t="s">
        <v>21</v>
      </c>
      <c r="G11" s="4" t="s">
        <v>88</v>
      </c>
      <c r="H11" s="4" t="s">
        <v>96</v>
      </c>
      <c r="I11" s="4" t="s">
        <v>97</v>
      </c>
      <c r="J11" s="4"/>
      <c r="K11" s="4"/>
      <c r="L11" s="4" t="s">
        <v>4</v>
      </c>
      <c r="M11" s="5">
        <f t="shared" si="0"/>
        <v>1</v>
      </c>
    </row>
    <row r="12" spans="1:13" ht="28.5">
      <c r="A12" s="4" t="s">
        <v>98</v>
      </c>
      <c r="B12" s="4" t="s">
        <v>20</v>
      </c>
      <c r="C12" s="4" t="s">
        <v>99</v>
      </c>
      <c r="D12" s="4" t="s">
        <v>100</v>
      </c>
      <c r="E12" s="4" t="s">
        <v>80</v>
      </c>
      <c r="F12" s="4" t="s">
        <v>19</v>
      </c>
      <c r="G12" s="4" t="s">
        <v>77</v>
      </c>
      <c r="H12" s="4" t="s">
        <v>101</v>
      </c>
      <c r="I12" s="4" t="s">
        <v>102</v>
      </c>
      <c r="J12" s="4"/>
      <c r="K12" s="4"/>
      <c r="L12" s="4" t="s">
        <v>4</v>
      </c>
      <c r="M12" s="5">
        <f t="shared" si="0"/>
        <v>1</v>
      </c>
    </row>
    <row r="13" spans="1:13" ht="28.5">
      <c r="A13" s="4" t="s">
        <v>103</v>
      </c>
      <c r="B13" s="4" t="s">
        <v>20</v>
      </c>
      <c r="C13" s="4" t="s">
        <v>104</v>
      </c>
      <c r="D13" s="4" t="s">
        <v>105</v>
      </c>
      <c r="E13" s="4" t="s">
        <v>80</v>
      </c>
      <c r="F13" s="4" t="s">
        <v>19</v>
      </c>
      <c r="G13" s="4" t="s">
        <v>98</v>
      </c>
      <c r="H13" s="4" t="s">
        <v>106</v>
      </c>
      <c r="I13" s="4" t="s">
        <v>107</v>
      </c>
      <c r="J13" s="4"/>
      <c r="K13" s="4"/>
      <c r="L13" s="4" t="s">
        <v>4</v>
      </c>
      <c r="M13" s="5">
        <f t="shared" si="0"/>
        <v>1</v>
      </c>
    </row>
    <row r="14" spans="1:13" ht="28.5">
      <c r="A14" s="4" t="s">
        <v>108</v>
      </c>
      <c r="B14" s="4" t="s">
        <v>22</v>
      </c>
      <c r="C14" s="4" t="s">
        <v>109</v>
      </c>
      <c r="D14" s="4" t="s">
        <v>110</v>
      </c>
      <c r="E14" s="4" t="s">
        <v>62</v>
      </c>
      <c r="F14" s="4" t="s">
        <v>19</v>
      </c>
      <c r="G14" s="4" t="s">
        <v>111</v>
      </c>
      <c r="H14" s="4" t="s">
        <v>112</v>
      </c>
      <c r="I14" s="4" t="s">
        <v>113</v>
      </c>
      <c r="J14" s="4"/>
      <c r="K14" s="4"/>
      <c r="L14" s="4" t="s">
        <v>6</v>
      </c>
      <c r="M14" s="5">
        <f t="shared" si="0"/>
        <v>0.5</v>
      </c>
    </row>
    <row r="15" spans="1:13" ht="28.5">
      <c r="A15" s="4" t="s">
        <v>114</v>
      </c>
      <c r="B15" s="4" t="s">
        <v>22</v>
      </c>
      <c r="C15" s="4" t="s">
        <v>115</v>
      </c>
      <c r="D15" s="4" t="s">
        <v>116</v>
      </c>
      <c r="E15" s="4" t="s">
        <v>62</v>
      </c>
      <c r="F15" s="4" t="s">
        <v>19</v>
      </c>
      <c r="G15" s="4" t="s">
        <v>108</v>
      </c>
      <c r="H15" s="4" t="s">
        <v>117</v>
      </c>
      <c r="I15" s="4" t="s">
        <v>118</v>
      </c>
      <c r="J15" s="4"/>
      <c r="K15" s="4"/>
      <c r="L15" s="4" t="s">
        <v>4</v>
      </c>
      <c r="M15" s="5">
        <f t="shared" si="0"/>
        <v>1</v>
      </c>
    </row>
    <row r="16" spans="1:13" ht="28.5">
      <c r="A16" s="4" t="s">
        <v>119</v>
      </c>
      <c r="B16" s="4" t="s">
        <v>22</v>
      </c>
      <c r="C16" s="4" t="s">
        <v>120</v>
      </c>
      <c r="D16" s="4" t="s">
        <v>121</v>
      </c>
      <c r="E16" s="4" t="s">
        <v>62</v>
      </c>
      <c r="F16" s="4" t="s">
        <v>19</v>
      </c>
      <c r="G16" s="4" t="s">
        <v>108</v>
      </c>
      <c r="H16" s="4" t="s">
        <v>122</v>
      </c>
      <c r="I16" s="4" t="s">
        <v>123</v>
      </c>
      <c r="J16" s="4"/>
      <c r="K16" s="4"/>
      <c r="L16" s="4" t="s">
        <v>4</v>
      </c>
      <c r="M16" s="5">
        <f t="shared" si="0"/>
        <v>1</v>
      </c>
    </row>
    <row r="17" spans="1:13" ht="28.5">
      <c r="A17" s="4" t="s">
        <v>124</v>
      </c>
      <c r="B17" s="4" t="s">
        <v>22</v>
      </c>
      <c r="C17" s="4" t="s">
        <v>125</v>
      </c>
      <c r="D17" s="4" t="s">
        <v>126</v>
      </c>
      <c r="E17" s="4" t="s">
        <v>62</v>
      </c>
      <c r="F17" s="4" t="s">
        <v>21</v>
      </c>
      <c r="G17" s="4" t="s">
        <v>127</v>
      </c>
      <c r="H17" s="4" t="s">
        <v>128</v>
      </c>
      <c r="I17" s="4" t="s">
        <v>129</v>
      </c>
      <c r="J17" s="4"/>
      <c r="K17" s="4"/>
      <c r="L17" s="4" t="s">
        <v>4</v>
      </c>
      <c r="M17" s="5">
        <f t="shared" si="0"/>
        <v>1</v>
      </c>
    </row>
    <row r="18" spans="1:13" ht="28.5">
      <c r="A18" s="4" t="s">
        <v>130</v>
      </c>
      <c r="B18" s="4" t="s">
        <v>22</v>
      </c>
      <c r="C18" s="4" t="s">
        <v>131</v>
      </c>
      <c r="D18" s="4" t="s">
        <v>132</v>
      </c>
      <c r="E18" s="4" t="s">
        <v>62</v>
      </c>
      <c r="F18" s="4" t="s">
        <v>19</v>
      </c>
      <c r="G18" s="4" t="s">
        <v>108</v>
      </c>
      <c r="H18" s="4" t="s">
        <v>133</v>
      </c>
      <c r="I18" s="4" t="s">
        <v>134</v>
      </c>
      <c r="J18" s="4"/>
      <c r="K18" s="4"/>
      <c r="L18" s="4" t="s">
        <v>4</v>
      </c>
      <c r="M18" s="5">
        <f t="shared" si="0"/>
        <v>1</v>
      </c>
    </row>
    <row r="19" spans="1:13" ht="28.5">
      <c r="A19" s="4" t="s">
        <v>135</v>
      </c>
      <c r="B19" s="4" t="s">
        <v>24</v>
      </c>
      <c r="C19" s="4" t="s">
        <v>136</v>
      </c>
      <c r="D19" s="4" t="s">
        <v>137</v>
      </c>
      <c r="E19" s="4" t="s">
        <v>62</v>
      </c>
      <c r="F19" s="4" t="s">
        <v>19</v>
      </c>
      <c r="G19" s="4" t="s">
        <v>138</v>
      </c>
      <c r="H19" s="4" t="s">
        <v>139</v>
      </c>
      <c r="I19" s="4" t="s">
        <v>140</v>
      </c>
      <c r="J19" s="4"/>
      <c r="K19" s="4"/>
      <c r="L19" s="4" t="s">
        <v>4</v>
      </c>
      <c r="M19" s="5">
        <f t="shared" si="0"/>
        <v>1</v>
      </c>
    </row>
    <row r="20" spans="1:13" ht="42.75">
      <c r="A20" s="4" t="s">
        <v>141</v>
      </c>
      <c r="B20" s="4" t="s">
        <v>24</v>
      </c>
      <c r="C20" s="4" t="s">
        <v>142</v>
      </c>
      <c r="D20" s="4" t="s">
        <v>143</v>
      </c>
      <c r="E20" s="4" t="s">
        <v>62</v>
      </c>
      <c r="F20" s="4" t="s">
        <v>19</v>
      </c>
      <c r="G20" s="4" t="s">
        <v>135</v>
      </c>
      <c r="H20" s="4" t="s">
        <v>144</v>
      </c>
      <c r="I20" s="4" t="s">
        <v>145</v>
      </c>
      <c r="J20" s="4"/>
      <c r="K20" s="4"/>
      <c r="L20" s="4" t="s">
        <v>4</v>
      </c>
      <c r="M20" s="5">
        <f t="shared" si="0"/>
        <v>1</v>
      </c>
    </row>
    <row r="21" spans="1:13" ht="28.5">
      <c r="A21" s="4" t="s">
        <v>146</v>
      </c>
      <c r="B21" s="4" t="s">
        <v>24</v>
      </c>
      <c r="C21" s="4" t="s">
        <v>147</v>
      </c>
      <c r="D21" s="4" t="s">
        <v>148</v>
      </c>
      <c r="E21" s="4" t="s">
        <v>62</v>
      </c>
      <c r="F21" s="4" t="s">
        <v>21</v>
      </c>
      <c r="G21" s="4" t="s">
        <v>141</v>
      </c>
      <c r="H21" s="4" t="s">
        <v>149</v>
      </c>
      <c r="I21" s="4" t="s">
        <v>150</v>
      </c>
      <c r="J21" s="4"/>
      <c r="K21" s="4"/>
      <c r="L21" s="4" t="s">
        <v>4</v>
      </c>
      <c r="M21" s="5">
        <f t="shared" si="0"/>
        <v>1</v>
      </c>
    </row>
    <row r="22" spans="1:13" ht="15">
      <c r="A22" s="4" t="s">
        <v>151</v>
      </c>
      <c r="B22" s="4" t="s">
        <v>24</v>
      </c>
      <c r="C22" s="4" t="s">
        <v>152</v>
      </c>
      <c r="D22" s="4" t="s">
        <v>153</v>
      </c>
      <c r="E22" s="4" t="s">
        <v>62</v>
      </c>
      <c r="F22" s="4" t="s">
        <v>19</v>
      </c>
      <c r="G22" s="4" t="s">
        <v>154</v>
      </c>
      <c r="H22" s="4" t="s">
        <v>155</v>
      </c>
      <c r="I22" s="4" t="s">
        <v>156</v>
      </c>
      <c r="J22" s="4"/>
      <c r="K22" s="4"/>
      <c r="L22" s="4" t="s">
        <v>4</v>
      </c>
      <c r="M22" s="5">
        <f t="shared" si="0"/>
        <v>1</v>
      </c>
    </row>
    <row r="23" spans="1:13" ht="28.5">
      <c r="A23" s="4" t="s">
        <v>157</v>
      </c>
      <c r="B23" s="4" t="s">
        <v>24</v>
      </c>
      <c r="C23" s="4" t="s">
        <v>158</v>
      </c>
      <c r="D23" s="4" t="s">
        <v>159</v>
      </c>
      <c r="E23" s="4" t="s">
        <v>62</v>
      </c>
      <c r="F23" s="4" t="s">
        <v>19</v>
      </c>
      <c r="G23" s="4" t="s">
        <v>160</v>
      </c>
      <c r="H23" s="4" t="s">
        <v>161</v>
      </c>
      <c r="I23" s="4" t="s">
        <v>162</v>
      </c>
      <c r="J23" s="4"/>
      <c r="K23" s="4"/>
      <c r="L23" s="4" t="s">
        <v>4</v>
      </c>
      <c r="M23" s="5">
        <f t="shared" si="0"/>
        <v>1</v>
      </c>
    </row>
    <row r="24" spans="1:13" ht="28.5">
      <c r="A24" s="4" t="s">
        <v>163</v>
      </c>
      <c r="B24" s="4" t="s">
        <v>24</v>
      </c>
      <c r="C24" s="4" t="s">
        <v>164</v>
      </c>
      <c r="D24" s="4" t="s">
        <v>165</v>
      </c>
      <c r="E24" s="4" t="s">
        <v>62</v>
      </c>
      <c r="F24" s="4" t="s">
        <v>21</v>
      </c>
      <c r="G24" s="4" t="s">
        <v>157</v>
      </c>
      <c r="H24" s="4" t="s">
        <v>166</v>
      </c>
      <c r="I24" s="4" t="s">
        <v>167</v>
      </c>
      <c r="J24" s="4"/>
      <c r="K24" s="4"/>
      <c r="L24" s="4" t="s">
        <v>4</v>
      </c>
      <c r="M24" s="5">
        <f t="shared" si="0"/>
        <v>1</v>
      </c>
    </row>
    <row r="25" spans="1:13" ht="15">
      <c r="A25" s="4" t="s">
        <v>168</v>
      </c>
      <c r="B25" s="4" t="s">
        <v>25</v>
      </c>
      <c r="C25" s="4" t="s">
        <v>169</v>
      </c>
      <c r="D25" s="4" t="s">
        <v>170</v>
      </c>
      <c r="E25" s="4" t="s">
        <v>62</v>
      </c>
      <c r="F25" s="4" t="s">
        <v>19</v>
      </c>
      <c r="G25" s="4" t="s">
        <v>163</v>
      </c>
      <c r="H25" s="4" t="s">
        <v>171</v>
      </c>
      <c r="I25" s="4" t="s">
        <v>172</v>
      </c>
      <c r="J25" s="4"/>
      <c r="K25" s="4"/>
      <c r="L25" s="4" t="s">
        <v>4</v>
      </c>
      <c r="M25" s="5">
        <f t="shared" si="0"/>
        <v>1</v>
      </c>
    </row>
    <row r="26" spans="1:13" ht="15">
      <c r="A26" s="4" t="s">
        <v>173</v>
      </c>
      <c r="B26" s="4" t="s">
        <v>25</v>
      </c>
      <c r="C26" s="4" t="s">
        <v>174</v>
      </c>
      <c r="D26" s="4" t="s">
        <v>175</v>
      </c>
      <c r="E26" s="4" t="s">
        <v>62</v>
      </c>
      <c r="F26" s="4" t="s">
        <v>19</v>
      </c>
      <c r="G26" s="4" t="s">
        <v>168</v>
      </c>
      <c r="H26" s="4" t="s">
        <v>176</v>
      </c>
      <c r="I26" s="4" t="s">
        <v>177</v>
      </c>
      <c r="J26" s="4"/>
      <c r="K26" s="4"/>
      <c r="L26" s="4" t="s">
        <v>4</v>
      </c>
      <c r="M26" s="5">
        <f t="shared" si="0"/>
        <v>1</v>
      </c>
    </row>
    <row r="27" spans="1:13" ht="15">
      <c r="A27" s="4" t="s">
        <v>178</v>
      </c>
      <c r="B27" s="4" t="s">
        <v>25</v>
      </c>
      <c r="C27" s="4" t="s">
        <v>179</v>
      </c>
      <c r="D27" s="4" t="s">
        <v>180</v>
      </c>
      <c r="E27" s="4" t="s">
        <v>62</v>
      </c>
      <c r="F27" s="4" t="s">
        <v>19</v>
      </c>
      <c r="G27" s="4" t="s">
        <v>181</v>
      </c>
      <c r="H27" s="4" t="s">
        <v>182</v>
      </c>
      <c r="I27" s="4" t="s">
        <v>183</v>
      </c>
      <c r="J27" s="4"/>
      <c r="K27" s="4"/>
      <c r="L27" s="4" t="s">
        <v>4</v>
      </c>
      <c r="M27" s="5">
        <f t="shared" si="0"/>
        <v>1</v>
      </c>
    </row>
    <row r="28" spans="1:13">
      <c r="A28" s="4" t="s">
        <v>184</v>
      </c>
      <c r="B28" s="4" t="s">
        <v>25</v>
      </c>
      <c r="C28" s="4" t="s">
        <v>185</v>
      </c>
      <c r="D28" s="4" t="s">
        <v>186</v>
      </c>
      <c r="E28" s="4" t="s">
        <v>62</v>
      </c>
      <c r="F28" s="4" t="s">
        <v>21</v>
      </c>
      <c r="G28" s="4" t="s">
        <v>151</v>
      </c>
      <c r="H28" s="4" t="s">
        <v>187</v>
      </c>
      <c r="I28" s="4" t="s">
        <v>188</v>
      </c>
      <c r="J28" s="4"/>
      <c r="K28" s="4"/>
      <c r="L28" s="4" t="s">
        <v>4</v>
      </c>
      <c r="M28" s="5">
        <f t="shared" si="0"/>
        <v>1</v>
      </c>
    </row>
    <row r="29" spans="1:13" ht="28.5">
      <c r="A29" s="4" t="s">
        <v>189</v>
      </c>
      <c r="B29" s="4" t="s">
        <v>25</v>
      </c>
      <c r="C29" s="4" t="s">
        <v>190</v>
      </c>
      <c r="D29" s="4" t="s">
        <v>191</v>
      </c>
      <c r="E29" s="4" t="s">
        <v>62</v>
      </c>
      <c r="F29" s="4" t="s">
        <v>19</v>
      </c>
      <c r="G29" s="4" t="s">
        <v>192</v>
      </c>
      <c r="H29" s="4" t="s">
        <v>193</v>
      </c>
      <c r="I29" s="4" t="s">
        <v>194</v>
      </c>
      <c r="J29" s="4"/>
      <c r="K29" s="4"/>
      <c r="L29" s="4" t="s">
        <v>4</v>
      </c>
      <c r="M29" s="5">
        <f t="shared" si="0"/>
        <v>1</v>
      </c>
    </row>
    <row r="30" spans="1:13" ht="28.5">
      <c r="A30" s="4" t="s">
        <v>195</v>
      </c>
      <c r="B30" s="4" t="s">
        <v>26</v>
      </c>
      <c r="C30" s="4" t="s">
        <v>196</v>
      </c>
      <c r="D30" s="4" t="s">
        <v>197</v>
      </c>
      <c r="E30" s="4" t="s">
        <v>62</v>
      </c>
      <c r="F30" s="4" t="s">
        <v>19</v>
      </c>
      <c r="G30" s="4" t="s">
        <v>198</v>
      </c>
      <c r="H30" s="4" t="s">
        <v>199</v>
      </c>
      <c r="I30" s="4" t="s">
        <v>200</v>
      </c>
      <c r="J30" s="4"/>
      <c r="K30" s="4"/>
      <c r="L30" s="4" t="s">
        <v>4</v>
      </c>
      <c r="M30" s="5">
        <f t="shared" si="0"/>
        <v>1</v>
      </c>
    </row>
    <row r="31" spans="1:13" ht="28.5">
      <c r="A31" s="4" t="s">
        <v>201</v>
      </c>
      <c r="B31" s="4" t="s">
        <v>26</v>
      </c>
      <c r="C31" s="4" t="s">
        <v>202</v>
      </c>
      <c r="D31" s="4" t="s">
        <v>203</v>
      </c>
      <c r="E31" s="4" t="s">
        <v>62</v>
      </c>
      <c r="F31" s="4" t="s">
        <v>19</v>
      </c>
      <c r="G31" s="4" t="s">
        <v>195</v>
      </c>
      <c r="H31" s="4" t="s">
        <v>204</v>
      </c>
      <c r="I31" s="4" t="s">
        <v>205</v>
      </c>
      <c r="J31" s="4"/>
      <c r="K31" s="4"/>
      <c r="L31" s="4" t="s">
        <v>4</v>
      </c>
      <c r="M31" s="5">
        <f t="shared" si="0"/>
        <v>1</v>
      </c>
    </row>
    <row r="32" spans="1:13" ht="28.5">
      <c r="A32" s="4" t="s">
        <v>206</v>
      </c>
      <c r="B32" s="4" t="s">
        <v>26</v>
      </c>
      <c r="C32" s="4" t="s">
        <v>207</v>
      </c>
      <c r="D32" s="4" t="s">
        <v>208</v>
      </c>
      <c r="E32" s="4" t="s">
        <v>62</v>
      </c>
      <c r="F32" s="4" t="s">
        <v>19</v>
      </c>
      <c r="G32" s="4" t="s">
        <v>195</v>
      </c>
      <c r="H32" s="4" t="s">
        <v>209</v>
      </c>
      <c r="I32" s="4" t="s">
        <v>210</v>
      </c>
      <c r="J32" s="4"/>
      <c r="K32" s="4"/>
      <c r="L32" s="4" t="s">
        <v>4</v>
      </c>
      <c r="M32" s="5">
        <f t="shared" si="0"/>
        <v>1</v>
      </c>
    </row>
    <row r="33" spans="1:13" ht="28.5">
      <c r="A33" s="4" t="s">
        <v>211</v>
      </c>
      <c r="B33" s="4" t="s">
        <v>26</v>
      </c>
      <c r="C33" s="4" t="s">
        <v>212</v>
      </c>
      <c r="D33" s="4" t="s">
        <v>213</v>
      </c>
      <c r="E33" s="4" t="s">
        <v>62</v>
      </c>
      <c r="F33" s="4" t="s">
        <v>19</v>
      </c>
      <c r="G33" s="4" t="s">
        <v>206</v>
      </c>
      <c r="H33" s="4" t="s">
        <v>214</v>
      </c>
      <c r="I33" s="4" t="s">
        <v>215</v>
      </c>
      <c r="J33" s="4"/>
      <c r="K33" s="4"/>
      <c r="L33" s="4" t="s">
        <v>4</v>
      </c>
      <c r="M33" s="5">
        <f t="shared" si="0"/>
        <v>1</v>
      </c>
    </row>
    <row r="34" spans="1:13" ht="28.5">
      <c r="A34" s="4" t="s">
        <v>216</v>
      </c>
      <c r="B34" s="4" t="s">
        <v>26</v>
      </c>
      <c r="C34" s="4" t="s">
        <v>217</v>
      </c>
      <c r="D34" s="4" t="s">
        <v>218</v>
      </c>
      <c r="E34" s="4" t="s">
        <v>62</v>
      </c>
      <c r="F34" s="4" t="s">
        <v>21</v>
      </c>
      <c r="G34" s="4" t="s">
        <v>206</v>
      </c>
      <c r="H34" s="4" t="s">
        <v>219</v>
      </c>
      <c r="I34" s="4" t="s">
        <v>220</v>
      </c>
      <c r="J34" s="4"/>
      <c r="K34" s="4"/>
      <c r="L34" s="4" t="s">
        <v>4</v>
      </c>
      <c r="M34" s="5">
        <f t="shared" si="0"/>
        <v>1</v>
      </c>
    </row>
    <row r="35" spans="1:13" ht="15">
      <c r="A35" s="4" t="s">
        <v>221</v>
      </c>
      <c r="B35" s="4" t="s">
        <v>26</v>
      </c>
      <c r="C35" s="4" t="s">
        <v>222</v>
      </c>
      <c r="D35" s="4" t="s">
        <v>223</v>
      </c>
      <c r="E35" s="4" t="s">
        <v>224</v>
      </c>
      <c r="F35" s="4" t="s">
        <v>19</v>
      </c>
      <c r="G35" s="4" t="s">
        <v>225</v>
      </c>
      <c r="H35" s="4" t="s">
        <v>226</v>
      </c>
      <c r="I35" s="4" t="s">
        <v>227</v>
      </c>
      <c r="J35" s="4"/>
      <c r="K35" s="4"/>
      <c r="L35" s="4" t="s">
        <v>4</v>
      </c>
      <c r="M35" s="5">
        <f t="shared" si="0"/>
        <v>1</v>
      </c>
    </row>
    <row r="36" spans="1:13" ht="28.5">
      <c r="A36" s="4" t="s">
        <v>228</v>
      </c>
      <c r="B36" s="4" t="s">
        <v>26</v>
      </c>
      <c r="C36" s="4" t="s">
        <v>229</v>
      </c>
      <c r="D36" s="4" t="s">
        <v>230</v>
      </c>
      <c r="E36" s="4" t="s">
        <v>224</v>
      </c>
      <c r="F36" s="4" t="s">
        <v>19</v>
      </c>
      <c r="G36" s="4" t="s">
        <v>221</v>
      </c>
      <c r="H36" s="4" t="s">
        <v>231</v>
      </c>
      <c r="I36" s="4" t="s">
        <v>232</v>
      </c>
      <c r="J36" s="4"/>
      <c r="K36" s="4"/>
      <c r="L36" s="4" t="s">
        <v>4</v>
      </c>
      <c r="M36" s="5">
        <f t="shared" ref="M36:M67" si="1">IF(L36="Done",1,IF(L36="In Progress",0.5,IF(L36="Blocked",0.25,0)))</f>
        <v>1</v>
      </c>
    </row>
    <row r="37" spans="1:13" ht="15">
      <c r="A37" s="4" t="s">
        <v>233</v>
      </c>
      <c r="B37" s="4" t="s">
        <v>26</v>
      </c>
      <c r="C37" s="4" t="s">
        <v>234</v>
      </c>
      <c r="D37" s="4" t="s">
        <v>235</v>
      </c>
      <c r="E37" s="4" t="s">
        <v>224</v>
      </c>
      <c r="F37" s="4" t="s">
        <v>19</v>
      </c>
      <c r="G37" s="4" t="s">
        <v>228</v>
      </c>
      <c r="H37" s="4" t="s">
        <v>236</v>
      </c>
      <c r="I37" s="4" t="s">
        <v>237</v>
      </c>
      <c r="J37" s="4"/>
      <c r="K37" s="4"/>
      <c r="L37" s="4" t="s">
        <v>4</v>
      </c>
      <c r="M37" s="5">
        <f t="shared" si="1"/>
        <v>1</v>
      </c>
    </row>
    <row r="38" spans="1:13" ht="28.5">
      <c r="A38" s="4" t="s">
        <v>238</v>
      </c>
      <c r="B38" s="4" t="s">
        <v>28</v>
      </c>
      <c r="C38" s="4" t="s">
        <v>239</v>
      </c>
      <c r="D38" s="4" t="s">
        <v>240</v>
      </c>
      <c r="E38" s="4" t="s">
        <v>62</v>
      </c>
      <c r="F38" s="4" t="s">
        <v>19</v>
      </c>
      <c r="G38" s="4" t="s">
        <v>241</v>
      </c>
      <c r="H38" s="4" t="s">
        <v>242</v>
      </c>
      <c r="I38" s="4" t="s">
        <v>243</v>
      </c>
      <c r="J38" s="4"/>
      <c r="K38" s="4"/>
      <c r="L38" s="4" t="s">
        <v>4</v>
      </c>
      <c r="M38" s="5">
        <f t="shared" si="1"/>
        <v>1</v>
      </c>
    </row>
    <row r="39" spans="1:13" ht="28.5">
      <c r="A39" s="4" t="s">
        <v>244</v>
      </c>
      <c r="B39" s="4" t="s">
        <v>28</v>
      </c>
      <c r="C39" s="4" t="s">
        <v>245</v>
      </c>
      <c r="D39" s="4" t="s">
        <v>246</v>
      </c>
      <c r="E39" s="4" t="s">
        <v>62</v>
      </c>
      <c r="F39" s="4" t="s">
        <v>19</v>
      </c>
      <c r="G39" s="4" t="s">
        <v>238</v>
      </c>
      <c r="H39" s="4" t="s">
        <v>247</v>
      </c>
      <c r="I39" s="4" t="s">
        <v>248</v>
      </c>
      <c r="J39" s="4"/>
      <c r="K39" s="4"/>
      <c r="L39" s="4" t="s">
        <v>4</v>
      </c>
      <c r="M39" s="5">
        <f t="shared" si="1"/>
        <v>1</v>
      </c>
    </row>
    <row r="40" spans="1:13" ht="15">
      <c r="A40" s="4" t="s">
        <v>249</v>
      </c>
      <c r="B40" s="4" t="s">
        <v>28</v>
      </c>
      <c r="C40" s="4" t="s">
        <v>250</v>
      </c>
      <c r="D40" s="4" t="s">
        <v>251</v>
      </c>
      <c r="E40" s="4" t="s">
        <v>62</v>
      </c>
      <c r="F40" s="4" t="s">
        <v>19</v>
      </c>
      <c r="G40" s="4" t="s">
        <v>238</v>
      </c>
      <c r="H40" s="4" t="s">
        <v>252</v>
      </c>
      <c r="I40" s="4" t="s">
        <v>253</v>
      </c>
      <c r="J40" s="4"/>
      <c r="K40" s="4"/>
      <c r="L40" s="4" t="s">
        <v>4</v>
      </c>
      <c r="M40" s="5">
        <f t="shared" si="1"/>
        <v>1</v>
      </c>
    </row>
    <row r="41" spans="1:13" ht="28.5">
      <c r="A41" s="4" t="s">
        <v>254</v>
      </c>
      <c r="B41" s="4" t="s">
        <v>28</v>
      </c>
      <c r="C41" s="4" t="s">
        <v>255</v>
      </c>
      <c r="D41" s="4" t="s">
        <v>256</v>
      </c>
      <c r="E41" s="4" t="s">
        <v>62</v>
      </c>
      <c r="F41" s="4" t="s">
        <v>19</v>
      </c>
      <c r="G41" s="4" t="s">
        <v>257</v>
      </c>
      <c r="H41" s="4" t="s">
        <v>258</v>
      </c>
      <c r="I41" s="4" t="s">
        <v>259</v>
      </c>
      <c r="J41" s="4"/>
      <c r="K41" s="4"/>
      <c r="L41" s="4" t="s">
        <v>4</v>
      </c>
      <c r="M41" s="5">
        <f t="shared" si="1"/>
        <v>1</v>
      </c>
    </row>
    <row r="42" spans="1:13" ht="28.5">
      <c r="A42" s="4" t="s">
        <v>260</v>
      </c>
      <c r="B42" s="4" t="s">
        <v>28</v>
      </c>
      <c r="C42" s="4" t="s">
        <v>261</v>
      </c>
      <c r="D42" s="4" t="s">
        <v>262</v>
      </c>
      <c r="E42" s="4" t="s">
        <v>62</v>
      </c>
      <c r="F42" s="4" t="s">
        <v>21</v>
      </c>
      <c r="G42" s="4" t="s">
        <v>263</v>
      </c>
      <c r="H42" s="4" t="s">
        <v>264</v>
      </c>
      <c r="I42" s="4" t="s">
        <v>265</v>
      </c>
      <c r="J42" s="4"/>
      <c r="K42" s="4"/>
      <c r="L42" s="4" t="s">
        <v>4</v>
      </c>
      <c r="M42" s="5">
        <f t="shared" si="1"/>
        <v>1</v>
      </c>
    </row>
    <row r="43" spans="1:13">
      <c r="A43" s="4" t="s">
        <v>266</v>
      </c>
      <c r="B43" s="4" t="s">
        <v>30</v>
      </c>
      <c r="C43" s="4" t="s">
        <v>267</v>
      </c>
      <c r="D43" s="4" t="s">
        <v>268</v>
      </c>
      <c r="E43" s="4" t="s">
        <v>62</v>
      </c>
      <c r="F43" s="4" t="s">
        <v>21</v>
      </c>
      <c r="G43" s="4" t="s">
        <v>119</v>
      </c>
      <c r="H43" s="4" t="s">
        <v>269</v>
      </c>
      <c r="I43" s="4" t="s">
        <v>270</v>
      </c>
      <c r="J43" s="4"/>
      <c r="K43" s="4"/>
      <c r="L43" s="4" t="s">
        <v>4</v>
      </c>
      <c r="M43" s="5">
        <f t="shared" si="1"/>
        <v>1</v>
      </c>
    </row>
    <row r="44" spans="1:13" ht="15">
      <c r="A44" s="4" t="s">
        <v>271</v>
      </c>
      <c r="B44" s="4" t="s">
        <v>30</v>
      </c>
      <c r="C44" s="4" t="s">
        <v>272</v>
      </c>
      <c r="D44" s="4" t="s">
        <v>273</v>
      </c>
      <c r="E44" s="4" t="s">
        <v>62</v>
      </c>
      <c r="F44" s="4" t="s">
        <v>19</v>
      </c>
      <c r="G44" s="4" t="s">
        <v>274</v>
      </c>
      <c r="H44" s="4" t="s">
        <v>275</v>
      </c>
      <c r="I44" s="4" t="s">
        <v>276</v>
      </c>
      <c r="J44" s="4"/>
      <c r="K44" s="4"/>
      <c r="L44" s="4" t="s">
        <v>4</v>
      </c>
      <c r="M44" s="5">
        <f t="shared" si="1"/>
        <v>1</v>
      </c>
    </row>
    <row r="45" spans="1:13" ht="28.5">
      <c r="A45" s="4" t="s">
        <v>277</v>
      </c>
      <c r="B45" s="4" t="s">
        <v>30</v>
      </c>
      <c r="C45" s="4" t="s">
        <v>278</v>
      </c>
      <c r="D45" s="4" t="s">
        <v>279</v>
      </c>
      <c r="E45" s="4" t="s">
        <v>62</v>
      </c>
      <c r="F45" s="4" t="s">
        <v>19</v>
      </c>
      <c r="G45" s="4" t="s">
        <v>280</v>
      </c>
      <c r="H45" s="4" t="s">
        <v>281</v>
      </c>
      <c r="I45" s="4" t="s">
        <v>282</v>
      </c>
      <c r="J45" s="4"/>
      <c r="K45" s="4"/>
      <c r="L45" s="4" t="s">
        <v>4</v>
      </c>
      <c r="M45" s="5">
        <f t="shared" si="1"/>
        <v>1</v>
      </c>
    </row>
    <row r="46" spans="1:13" ht="15">
      <c r="A46" s="4" t="s">
        <v>283</v>
      </c>
      <c r="B46" s="4" t="s">
        <v>30</v>
      </c>
      <c r="C46" s="4" t="s">
        <v>284</v>
      </c>
      <c r="D46" s="4" t="s">
        <v>285</v>
      </c>
      <c r="E46" s="4" t="s">
        <v>62</v>
      </c>
      <c r="F46" s="4" t="s">
        <v>19</v>
      </c>
      <c r="G46" s="4" t="s">
        <v>286</v>
      </c>
      <c r="H46" s="4" t="s">
        <v>287</v>
      </c>
      <c r="I46" s="4" t="s">
        <v>288</v>
      </c>
      <c r="J46" s="4"/>
      <c r="K46" s="4"/>
      <c r="L46" s="4" t="s">
        <v>4</v>
      </c>
      <c r="M46" s="5">
        <f t="shared" si="1"/>
        <v>1</v>
      </c>
    </row>
    <row r="47" spans="1:13" ht="15">
      <c r="A47" s="4" t="s">
        <v>289</v>
      </c>
      <c r="B47" s="4" t="s">
        <v>30</v>
      </c>
      <c r="C47" s="4" t="s">
        <v>290</v>
      </c>
      <c r="D47" s="4" t="s">
        <v>291</v>
      </c>
      <c r="E47" s="4" t="s">
        <v>62</v>
      </c>
      <c r="F47" s="4" t="s">
        <v>19</v>
      </c>
      <c r="G47" s="4" t="s">
        <v>292</v>
      </c>
      <c r="H47" s="4" t="s">
        <v>293</v>
      </c>
      <c r="I47" s="4" t="s">
        <v>294</v>
      </c>
      <c r="J47" s="4"/>
      <c r="K47" s="4"/>
      <c r="L47" s="4" t="s">
        <v>4</v>
      </c>
      <c r="M47" s="5">
        <f t="shared" si="1"/>
        <v>1</v>
      </c>
    </row>
    <row r="48" spans="1:13" ht="15">
      <c r="A48" s="4" t="s">
        <v>295</v>
      </c>
      <c r="B48" s="4" t="s">
        <v>30</v>
      </c>
      <c r="C48" s="4" t="s">
        <v>296</v>
      </c>
      <c r="D48" s="4" t="s">
        <v>297</v>
      </c>
      <c r="E48" s="4" t="s">
        <v>62</v>
      </c>
      <c r="F48" s="4" t="s">
        <v>19</v>
      </c>
      <c r="G48" s="4" t="s">
        <v>298</v>
      </c>
      <c r="H48" s="4" t="s">
        <v>299</v>
      </c>
      <c r="I48" s="4" t="s">
        <v>300</v>
      </c>
      <c r="J48" s="4"/>
      <c r="K48" s="4"/>
      <c r="L48" s="4" t="s">
        <v>4</v>
      </c>
      <c r="M48" s="5">
        <f t="shared" si="1"/>
        <v>1</v>
      </c>
    </row>
    <row r="49" spans="1:13" ht="28.5">
      <c r="A49" s="4" t="s">
        <v>301</v>
      </c>
      <c r="B49" s="4" t="s">
        <v>30</v>
      </c>
      <c r="C49" s="4" t="s">
        <v>302</v>
      </c>
      <c r="D49" s="4" t="s">
        <v>303</v>
      </c>
      <c r="E49" s="4" t="s">
        <v>62</v>
      </c>
      <c r="F49" s="4" t="s">
        <v>19</v>
      </c>
      <c r="G49" s="4" t="s">
        <v>304</v>
      </c>
      <c r="H49" s="4" t="s">
        <v>302</v>
      </c>
      <c r="I49" s="4" t="s">
        <v>305</v>
      </c>
      <c r="J49" s="4"/>
      <c r="K49" s="4"/>
      <c r="L49" s="4" t="s">
        <v>4</v>
      </c>
      <c r="M49" s="5">
        <f t="shared" si="1"/>
        <v>1</v>
      </c>
    </row>
    <row r="50" spans="1:13" ht="15">
      <c r="A50" s="4" t="s">
        <v>306</v>
      </c>
      <c r="B50" s="4" t="s">
        <v>30</v>
      </c>
      <c r="C50" s="4" t="s">
        <v>307</v>
      </c>
      <c r="D50" s="4" t="s">
        <v>308</v>
      </c>
      <c r="E50" s="4" t="s">
        <v>62</v>
      </c>
      <c r="F50" s="4" t="s">
        <v>19</v>
      </c>
      <c r="G50" s="4" t="s">
        <v>301</v>
      </c>
      <c r="H50" s="4" t="s">
        <v>309</v>
      </c>
      <c r="I50" s="4" t="s">
        <v>310</v>
      </c>
      <c r="J50" s="4"/>
      <c r="K50" s="4"/>
      <c r="L50" s="4" t="s">
        <v>4</v>
      </c>
      <c r="M50" s="5">
        <f t="shared" si="1"/>
        <v>1</v>
      </c>
    </row>
    <row r="51" spans="1:13">
      <c r="A51" s="4" t="s">
        <v>311</v>
      </c>
      <c r="B51" s="4" t="s">
        <v>30</v>
      </c>
      <c r="C51" s="4" t="s">
        <v>312</v>
      </c>
      <c r="D51" s="4" t="s">
        <v>313</v>
      </c>
      <c r="E51" s="4" t="s">
        <v>62</v>
      </c>
      <c r="F51" s="4" t="s">
        <v>21</v>
      </c>
      <c r="G51" s="4" t="s">
        <v>314</v>
      </c>
      <c r="H51" s="4" t="s">
        <v>312</v>
      </c>
      <c r="I51" s="4" t="s">
        <v>315</v>
      </c>
      <c r="J51" s="4"/>
      <c r="K51" s="4"/>
      <c r="L51" s="4" t="s">
        <v>4</v>
      </c>
      <c r="M51" s="5">
        <f t="shared" si="1"/>
        <v>1</v>
      </c>
    </row>
    <row r="52" spans="1:13" ht="15">
      <c r="A52" s="4" t="s">
        <v>316</v>
      </c>
      <c r="B52" s="4" t="s">
        <v>30</v>
      </c>
      <c r="C52" s="4" t="s">
        <v>317</v>
      </c>
      <c r="D52" s="4" t="s">
        <v>318</v>
      </c>
      <c r="E52" s="4" t="s">
        <v>62</v>
      </c>
      <c r="F52" s="4" t="s">
        <v>19</v>
      </c>
      <c r="G52" s="4" t="s">
        <v>319</v>
      </c>
      <c r="H52" s="4" t="s">
        <v>320</v>
      </c>
      <c r="I52" s="4" t="s">
        <v>321</v>
      </c>
      <c r="J52" s="4"/>
      <c r="K52" s="4"/>
      <c r="L52" s="4" t="s">
        <v>4</v>
      </c>
      <c r="M52" s="5">
        <f t="shared" si="1"/>
        <v>1</v>
      </c>
    </row>
    <row r="53" spans="1:13" ht="28.5">
      <c r="A53" s="4" t="s">
        <v>322</v>
      </c>
      <c r="B53" s="4" t="s">
        <v>32</v>
      </c>
      <c r="C53" s="4" t="s">
        <v>323</v>
      </c>
      <c r="D53" s="4" t="s">
        <v>324</v>
      </c>
      <c r="E53" s="4" t="s">
        <v>68</v>
      </c>
      <c r="F53" s="4" t="s">
        <v>21</v>
      </c>
      <c r="G53" s="4" t="s">
        <v>77</v>
      </c>
      <c r="H53" s="4" t="s">
        <v>325</v>
      </c>
      <c r="I53" s="4" t="s">
        <v>326</v>
      </c>
      <c r="J53" s="4"/>
      <c r="K53" s="4"/>
      <c r="L53" s="4" t="s">
        <v>4</v>
      </c>
      <c r="M53" s="5">
        <f t="shared" si="1"/>
        <v>1</v>
      </c>
    </row>
    <row r="54" spans="1:13" ht="28.5">
      <c r="A54" s="4" t="s">
        <v>327</v>
      </c>
      <c r="B54" s="4" t="s">
        <v>32</v>
      </c>
      <c r="C54" s="4" t="s">
        <v>328</v>
      </c>
      <c r="D54" s="4" t="s">
        <v>329</v>
      </c>
      <c r="E54" s="4" t="s">
        <v>330</v>
      </c>
      <c r="F54" s="4" t="s">
        <v>21</v>
      </c>
      <c r="G54" s="4" t="s">
        <v>331</v>
      </c>
      <c r="H54" s="4" t="s">
        <v>332</v>
      </c>
      <c r="I54" s="4" t="s">
        <v>333</v>
      </c>
      <c r="J54" s="4"/>
      <c r="K54" s="4"/>
      <c r="L54" s="4" t="s">
        <v>4</v>
      </c>
      <c r="M54" s="5">
        <f t="shared" si="1"/>
        <v>1</v>
      </c>
    </row>
    <row r="55" spans="1:13" ht="15">
      <c r="A55" s="4" t="s">
        <v>334</v>
      </c>
      <c r="B55" s="4" t="s">
        <v>32</v>
      </c>
      <c r="C55" s="4" t="s">
        <v>335</v>
      </c>
      <c r="D55" s="4" t="s">
        <v>336</v>
      </c>
      <c r="E55" s="4" t="s">
        <v>330</v>
      </c>
      <c r="F55" s="4" t="s">
        <v>19</v>
      </c>
      <c r="G55" s="4" t="s">
        <v>337</v>
      </c>
      <c r="H55" s="4" t="s">
        <v>338</v>
      </c>
      <c r="I55" s="4" t="s">
        <v>339</v>
      </c>
      <c r="J55" s="4"/>
      <c r="K55" s="4"/>
      <c r="L55" s="4" t="s">
        <v>4</v>
      </c>
      <c r="M55" s="5">
        <f t="shared" si="1"/>
        <v>1</v>
      </c>
    </row>
    <row r="56" spans="1:13" ht="28.5">
      <c r="A56" s="4" t="s">
        <v>340</v>
      </c>
      <c r="B56" s="4" t="s">
        <v>32</v>
      </c>
      <c r="C56" s="4" t="s">
        <v>341</v>
      </c>
      <c r="D56" s="4" t="s">
        <v>342</v>
      </c>
      <c r="E56" s="4" t="s">
        <v>330</v>
      </c>
      <c r="F56" s="4" t="s">
        <v>19</v>
      </c>
      <c r="G56" s="4" t="s">
        <v>343</v>
      </c>
      <c r="H56" s="4" t="s">
        <v>344</v>
      </c>
      <c r="I56" s="4" t="s">
        <v>345</v>
      </c>
      <c r="J56" s="4"/>
      <c r="K56" s="4"/>
      <c r="L56" s="4" t="s">
        <v>4</v>
      </c>
      <c r="M56" s="5">
        <f t="shared" si="1"/>
        <v>1</v>
      </c>
    </row>
    <row r="57" spans="1:13" ht="15">
      <c r="A57" s="4" t="s">
        <v>346</v>
      </c>
      <c r="B57" s="4" t="s">
        <v>32</v>
      </c>
      <c r="C57" s="4" t="s">
        <v>347</v>
      </c>
      <c r="D57" s="4" t="s">
        <v>348</v>
      </c>
      <c r="E57" s="4" t="s">
        <v>330</v>
      </c>
      <c r="F57" s="4" t="s">
        <v>19</v>
      </c>
      <c r="G57" s="4" t="s">
        <v>343</v>
      </c>
      <c r="H57" s="4" t="s">
        <v>349</v>
      </c>
      <c r="I57" s="4" t="s">
        <v>350</v>
      </c>
      <c r="J57" s="4"/>
      <c r="K57" s="4"/>
      <c r="L57" s="4" t="s">
        <v>4</v>
      </c>
      <c r="M57" s="5">
        <f t="shared" si="1"/>
        <v>1</v>
      </c>
    </row>
    <row r="58" spans="1:13" ht="28.5">
      <c r="A58" s="4" t="s">
        <v>351</v>
      </c>
      <c r="B58" s="4" t="s">
        <v>32</v>
      </c>
      <c r="C58" s="4" t="s">
        <v>352</v>
      </c>
      <c r="D58" s="4" t="s">
        <v>353</v>
      </c>
      <c r="E58" s="4" t="s">
        <v>330</v>
      </c>
      <c r="F58" s="4" t="s">
        <v>19</v>
      </c>
      <c r="G58" s="4" t="s">
        <v>354</v>
      </c>
      <c r="H58" s="4" t="s">
        <v>355</v>
      </c>
      <c r="I58" s="4" t="s">
        <v>356</v>
      </c>
      <c r="J58" s="4"/>
      <c r="K58" s="4"/>
      <c r="L58" s="4" t="s">
        <v>4</v>
      </c>
      <c r="M58" s="5">
        <f t="shared" si="1"/>
        <v>1</v>
      </c>
    </row>
    <row r="59" spans="1:13">
      <c r="A59" s="4" t="s">
        <v>357</v>
      </c>
      <c r="B59" s="4" t="s">
        <v>32</v>
      </c>
      <c r="C59" s="4" t="s">
        <v>358</v>
      </c>
      <c r="D59" s="4" t="s">
        <v>359</v>
      </c>
      <c r="E59" s="4" t="s">
        <v>68</v>
      </c>
      <c r="F59" s="4" t="s">
        <v>21</v>
      </c>
      <c r="G59" s="4" t="s">
        <v>360</v>
      </c>
      <c r="H59" s="4" t="s">
        <v>361</v>
      </c>
      <c r="I59" s="4" t="s">
        <v>362</v>
      </c>
      <c r="J59" s="4"/>
      <c r="K59" s="4"/>
      <c r="L59" s="4" t="s">
        <v>4</v>
      </c>
      <c r="M59" s="5">
        <f t="shared" si="1"/>
        <v>1</v>
      </c>
    </row>
    <row r="60" spans="1:13" ht="28.5">
      <c r="A60" s="4" t="s">
        <v>363</v>
      </c>
      <c r="B60" s="4" t="s">
        <v>32</v>
      </c>
      <c r="C60" s="4" t="s">
        <v>364</v>
      </c>
      <c r="D60" s="4" t="s">
        <v>365</v>
      </c>
      <c r="E60" s="4" t="s">
        <v>68</v>
      </c>
      <c r="F60" s="4" t="s">
        <v>21</v>
      </c>
      <c r="G60" s="4" t="s">
        <v>360</v>
      </c>
      <c r="H60" s="4" t="s">
        <v>366</v>
      </c>
      <c r="I60" s="4" t="s">
        <v>367</v>
      </c>
      <c r="J60" s="4"/>
      <c r="K60" s="4"/>
      <c r="L60" s="4" t="s">
        <v>4</v>
      </c>
      <c r="M60" s="5">
        <f t="shared" si="1"/>
        <v>1</v>
      </c>
    </row>
    <row r="61" spans="1:13" ht="28.5">
      <c r="A61" s="4" t="s">
        <v>368</v>
      </c>
      <c r="B61" s="4" t="s">
        <v>34</v>
      </c>
      <c r="C61" s="4" t="s">
        <v>369</v>
      </c>
      <c r="D61" s="4" t="s">
        <v>370</v>
      </c>
      <c r="E61" s="4" t="s">
        <v>62</v>
      </c>
      <c r="F61" s="4" t="s">
        <v>19</v>
      </c>
      <c r="G61" s="4" t="s">
        <v>189</v>
      </c>
      <c r="H61" s="4" t="s">
        <v>371</v>
      </c>
      <c r="I61" s="4" t="s">
        <v>372</v>
      </c>
      <c r="J61" s="4"/>
      <c r="K61" s="4"/>
      <c r="L61" s="4" t="s">
        <v>4</v>
      </c>
      <c r="M61" s="5">
        <f t="shared" si="1"/>
        <v>1</v>
      </c>
    </row>
    <row r="62" spans="1:13" ht="28.5">
      <c r="A62" s="4" t="s">
        <v>373</v>
      </c>
      <c r="B62" s="4" t="s">
        <v>34</v>
      </c>
      <c r="C62" s="4" t="s">
        <v>374</v>
      </c>
      <c r="D62" s="4" t="s">
        <v>375</v>
      </c>
      <c r="E62" s="4" t="s">
        <v>62</v>
      </c>
      <c r="F62" s="4" t="s">
        <v>19</v>
      </c>
      <c r="G62" s="4" t="s">
        <v>376</v>
      </c>
      <c r="H62" s="4" t="s">
        <v>377</v>
      </c>
      <c r="I62" s="4" t="s">
        <v>378</v>
      </c>
      <c r="J62" s="4"/>
      <c r="K62" s="4"/>
      <c r="L62" s="4" t="s">
        <v>4</v>
      </c>
      <c r="M62" s="5">
        <f t="shared" si="1"/>
        <v>1</v>
      </c>
    </row>
    <row r="63" spans="1:13" ht="28.5">
      <c r="A63" s="4" t="s">
        <v>379</v>
      </c>
      <c r="B63" s="4" t="s">
        <v>34</v>
      </c>
      <c r="C63" s="4" t="s">
        <v>380</v>
      </c>
      <c r="D63" s="4" t="s">
        <v>381</v>
      </c>
      <c r="E63" s="4" t="s">
        <v>224</v>
      </c>
      <c r="F63" s="4" t="s">
        <v>19</v>
      </c>
      <c r="G63" s="4" t="s">
        <v>260</v>
      </c>
      <c r="H63" s="4" t="s">
        <v>382</v>
      </c>
      <c r="I63" s="4" t="s">
        <v>383</v>
      </c>
      <c r="J63" s="4"/>
      <c r="K63" s="4"/>
      <c r="L63" s="4" t="s">
        <v>4</v>
      </c>
      <c r="M63" s="5">
        <f t="shared" si="1"/>
        <v>1</v>
      </c>
    </row>
    <row r="64" spans="1:13">
      <c r="A64" s="4" t="s">
        <v>384</v>
      </c>
      <c r="B64" s="4" t="s">
        <v>34</v>
      </c>
      <c r="C64" s="4" t="s">
        <v>385</v>
      </c>
      <c r="D64" s="4" t="s">
        <v>386</v>
      </c>
      <c r="E64" s="4" t="s">
        <v>62</v>
      </c>
      <c r="F64" s="4" t="s">
        <v>21</v>
      </c>
      <c r="G64" s="4" t="s">
        <v>316</v>
      </c>
      <c r="H64" s="4" t="s">
        <v>387</v>
      </c>
      <c r="I64" s="4" t="s">
        <v>388</v>
      </c>
      <c r="J64" s="4"/>
      <c r="K64" s="4"/>
      <c r="L64" s="4" t="s">
        <v>4</v>
      </c>
      <c r="M64" s="5">
        <f t="shared" si="1"/>
        <v>1</v>
      </c>
    </row>
    <row r="65" spans="1:13" ht="28.5">
      <c r="A65" s="4" t="s">
        <v>389</v>
      </c>
      <c r="B65" s="4" t="s">
        <v>34</v>
      </c>
      <c r="C65" s="4" t="s">
        <v>390</v>
      </c>
      <c r="D65" s="4" t="s">
        <v>391</v>
      </c>
      <c r="E65" s="4" t="s">
        <v>392</v>
      </c>
      <c r="F65" s="4" t="s">
        <v>19</v>
      </c>
      <c r="G65" s="4" t="s">
        <v>393</v>
      </c>
      <c r="H65" s="4" t="s">
        <v>394</v>
      </c>
      <c r="I65" s="4" t="s">
        <v>395</v>
      </c>
      <c r="J65" s="4"/>
      <c r="K65" s="4"/>
      <c r="L65" s="4" t="s">
        <v>4</v>
      </c>
      <c r="M65" s="5">
        <f t="shared" si="1"/>
        <v>1</v>
      </c>
    </row>
    <row r="66" spans="1:13" ht="15">
      <c r="A66" s="4" t="s">
        <v>396</v>
      </c>
      <c r="B66" s="4" t="s">
        <v>34</v>
      </c>
      <c r="C66" s="4" t="s">
        <v>397</v>
      </c>
      <c r="D66" s="4" t="s">
        <v>398</v>
      </c>
      <c r="E66" s="4" t="s">
        <v>392</v>
      </c>
      <c r="F66" s="4" t="s">
        <v>19</v>
      </c>
      <c r="G66" s="4" t="s">
        <v>399</v>
      </c>
      <c r="H66" s="4" t="s">
        <v>400</v>
      </c>
      <c r="I66" s="4" t="s">
        <v>401</v>
      </c>
      <c r="J66" s="4"/>
      <c r="K66" s="4"/>
      <c r="L66" s="4" t="s">
        <v>4</v>
      </c>
      <c r="M66" s="5">
        <f t="shared" si="1"/>
        <v>1</v>
      </c>
    </row>
    <row r="67" spans="1:13" ht="28.5">
      <c r="A67" s="4" t="s">
        <v>402</v>
      </c>
      <c r="B67" s="4" t="s">
        <v>36</v>
      </c>
      <c r="C67" s="4" t="s">
        <v>403</v>
      </c>
      <c r="D67" s="4" t="s">
        <v>404</v>
      </c>
      <c r="E67" s="4" t="s">
        <v>56</v>
      </c>
      <c r="F67" s="4" t="s">
        <v>19</v>
      </c>
      <c r="G67" s="4" t="s">
        <v>389</v>
      </c>
      <c r="H67" s="4" t="s">
        <v>405</v>
      </c>
      <c r="I67" s="4" t="s">
        <v>406</v>
      </c>
      <c r="J67" s="4"/>
      <c r="K67" s="4"/>
      <c r="L67" s="4" t="s">
        <v>650</v>
      </c>
      <c r="M67" s="5">
        <f t="shared" si="1"/>
        <v>0</v>
      </c>
    </row>
    <row r="68" spans="1:13" ht="28.5">
      <c r="A68" s="4" t="s">
        <v>407</v>
      </c>
      <c r="B68" s="4" t="s">
        <v>36</v>
      </c>
      <c r="C68" s="4" t="s">
        <v>408</v>
      </c>
      <c r="D68" s="4" t="s">
        <v>409</v>
      </c>
      <c r="E68" s="4" t="s">
        <v>56</v>
      </c>
      <c r="F68" s="4" t="s">
        <v>19</v>
      </c>
      <c r="G68" s="4" t="s">
        <v>389</v>
      </c>
      <c r="H68" s="4" t="s">
        <v>410</v>
      </c>
      <c r="I68" s="4" t="s">
        <v>411</v>
      </c>
      <c r="J68" s="4"/>
      <c r="K68" s="4"/>
      <c r="L68" s="4" t="s">
        <v>650</v>
      </c>
      <c r="M68" s="5">
        <f t="shared" ref="M68:M79" si="2">IF(L68="Done",1,IF(L68="In Progress",0.5,IF(L68="Blocked",0.25,0)))</f>
        <v>0</v>
      </c>
    </row>
    <row r="69" spans="1:13" ht="28.5">
      <c r="A69" s="4" t="s">
        <v>412</v>
      </c>
      <c r="B69" s="4" t="s">
        <v>36</v>
      </c>
      <c r="C69" s="4" t="s">
        <v>413</v>
      </c>
      <c r="D69" s="4" t="s">
        <v>414</v>
      </c>
      <c r="E69" s="4" t="s">
        <v>56</v>
      </c>
      <c r="F69" s="4" t="s">
        <v>19</v>
      </c>
      <c r="G69" s="4" t="s">
        <v>389</v>
      </c>
      <c r="H69" s="4" t="s">
        <v>415</v>
      </c>
      <c r="I69" s="4" t="s">
        <v>416</v>
      </c>
      <c r="J69" s="4"/>
      <c r="K69" s="4"/>
      <c r="L69" s="4" t="s">
        <v>650</v>
      </c>
      <c r="M69" s="5">
        <f t="shared" si="2"/>
        <v>0</v>
      </c>
    </row>
    <row r="70" spans="1:13" ht="28.5">
      <c r="A70" s="4" t="s">
        <v>417</v>
      </c>
      <c r="B70" s="4" t="s">
        <v>36</v>
      </c>
      <c r="C70" s="4" t="s">
        <v>418</v>
      </c>
      <c r="D70" s="4" t="s">
        <v>419</v>
      </c>
      <c r="E70" s="4" t="s">
        <v>56</v>
      </c>
      <c r="F70" s="4" t="s">
        <v>19</v>
      </c>
      <c r="G70" s="4" t="s">
        <v>389</v>
      </c>
      <c r="H70" s="4" t="s">
        <v>420</v>
      </c>
      <c r="I70" s="4" t="s">
        <v>421</v>
      </c>
      <c r="J70" s="4"/>
      <c r="K70" s="4"/>
      <c r="L70" s="4" t="s">
        <v>650</v>
      </c>
      <c r="M70" s="5">
        <f t="shared" si="2"/>
        <v>0</v>
      </c>
    </row>
    <row r="71" spans="1:13" ht="28.5">
      <c r="A71" s="4" t="s">
        <v>422</v>
      </c>
      <c r="B71" s="4" t="s">
        <v>36</v>
      </c>
      <c r="C71" s="4" t="s">
        <v>423</v>
      </c>
      <c r="D71" s="4" t="s">
        <v>424</v>
      </c>
      <c r="E71" s="4" t="s">
        <v>56</v>
      </c>
      <c r="F71" s="4" t="s">
        <v>19</v>
      </c>
      <c r="G71" s="4" t="s">
        <v>389</v>
      </c>
      <c r="H71" s="4" t="s">
        <v>425</v>
      </c>
      <c r="I71" s="4" t="s">
        <v>426</v>
      </c>
      <c r="J71" s="4"/>
      <c r="K71" s="4"/>
      <c r="L71" s="4" t="s">
        <v>650</v>
      </c>
      <c r="M71" s="5">
        <f t="shared" si="2"/>
        <v>0</v>
      </c>
    </row>
    <row r="72" spans="1:13" ht="28.5">
      <c r="A72" s="4" t="s">
        <v>427</v>
      </c>
      <c r="B72" s="4" t="s">
        <v>36</v>
      </c>
      <c r="C72" s="4" t="s">
        <v>428</v>
      </c>
      <c r="D72" s="4" t="s">
        <v>429</v>
      </c>
      <c r="E72" s="4" t="s">
        <v>56</v>
      </c>
      <c r="F72" s="4" t="s">
        <v>19</v>
      </c>
      <c r="G72" s="4" t="s">
        <v>389</v>
      </c>
      <c r="H72" s="4" t="s">
        <v>430</v>
      </c>
      <c r="I72" s="4" t="s">
        <v>431</v>
      </c>
      <c r="J72" s="4"/>
      <c r="K72" s="4"/>
      <c r="L72" s="4" t="s">
        <v>650</v>
      </c>
      <c r="M72" s="5">
        <f t="shared" si="2"/>
        <v>0</v>
      </c>
    </row>
    <row r="73" spans="1:13" ht="28.5">
      <c r="A73" s="4" t="s">
        <v>432</v>
      </c>
      <c r="B73" s="4" t="s">
        <v>36</v>
      </c>
      <c r="C73" s="4" t="s">
        <v>433</v>
      </c>
      <c r="D73" s="4" t="s">
        <v>434</v>
      </c>
      <c r="E73" s="4" t="s">
        <v>392</v>
      </c>
      <c r="F73" s="4" t="s">
        <v>19</v>
      </c>
      <c r="G73" s="4" t="s">
        <v>389</v>
      </c>
      <c r="H73" s="4" t="s">
        <v>435</v>
      </c>
      <c r="I73" s="4" t="s">
        <v>436</v>
      </c>
      <c r="J73" s="4"/>
      <c r="K73" s="4"/>
      <c r="L73" s="4" t="s">
        <v>650</v>
      </c>
      <c r="M73" s="5">
        <f t="shared" si="2"/>
        <v>0</v>
      </c>
    </row>
    <row r="74" spans="1:13" ht="42.75">
      <c r="A74" s="4" t="s">
        <v>437</v>
      </c>
      <c r="B74" s="4" t="s">
        <v>38</v>
      </c>
      <c r="C74" s="4" t="s">
        <v>438</v>
      </c>
      <c r="D74" s="4" t="s">
        <v>439</v>
      </c>
      <c r="E74" s="4" t="s">
        <v>224</v>
      </c>
      <c r="F74" s="4" t="s">
        <v>19</v>
      </c>
      <c r="G74" s="4" t="s">
        <v>440</v>
      </c>
      <c r="H74" s="4" t="s">
        <v>441</v>
      </c>
      <c r="I74" s="4" t="s">
        <v>442</v>
      </c>
      <c r="J74" s="4"/>
      <c r="K74" s="4"/>
      <c r="L74" s="4" t="s">
        <v>6</v>
      </c>
      <c r="M74" s="5">
        <f t="shared" si="2"/>
        <v>0.5</v>
      </c>
    </row>
    <row r="75" spans="1:13" ht="28.5">
      <c r="A75" s="4" t="s">
        <v>443</v>
      </c>
      <c r="B75" s="4" t="s">
        <v>38</v>
      </c>
      <c r="C75" s="4" t="s">
        <v>444</v>
      </c>
      <c r="D75" s="4" t="s">
        <v>445</v>
      </c>
      <c r="E75" s="4" t="s">
        <v>80</v>
      </c>
      <c r="F75" s="4" t="s">
        <v>21</v>
      </c>
      <c r="G75" s="4" t="s">
        <v>389</v>
      </c>
      <c r="H75" s="4" t="s">
        <v>446</v>
      </c>
      <c r="I75" s="4" t="s">
        <v>447</v>
      </c>
      <c r="J75" s="4"/>
      <c r="K75" s="4"/>
      <c r="L75" s="4" t="s">
        <v>6</v>
      </c>
      <c r="M75" s="5">
        <f t="shared" si="2"/>
        <v>0.5</v>
      </c>
    </row>
    <row r="76" spans="1:13" ht="15">
      <c r="A76" s="4" t="s">
        <v>448</v>
      </c>
      <c r="B76" s="4" t="s">
        <v>38</v>
      </c>
      <c r="C76" s="4" t="s">
        <v>449</v>
      </c>
      <c r="D76" s="4" t="s">
        <v>450</v>
      </c>
      <c r="E76" s="4" t="s">
        <v>80</v>
      </c>
      <c r="F76" s="4" t="s">
        <v>19</v>
      </c>
      <c r="G76" s="4" t="s">
        <v>432</v>
      </c>
      <c r="H76" s="4" t="s">
        <v>451</v>
      </c>
      <c r="I76" s="4" t="s">
        <v>452</v>
      </c>
      <c r="J76" s="4"/>
      <c r="K76" s="4"/>
      <c r="L76" s="4" t="s">
        <v>650</v>
      </c>
      <c r="M76" s="5">
        <f t="shared" si="2"/>
        <v>0</v>
      </c>
    </row>
    <row r="77" spans="1:13" ht="15">
      <c r="A77" s="4" t="s">
        <v>453</v>
      </c>
      <c r="B77" s="4" t="s">
        <v>38</v>
      </c>
      <c r="C77" s="4" t="s">
        <v>454</v>
      </c>
      <c r="D77" s="4" t="s">
        <v>455</v>
      </c>
      <c r="E77" s="4" t="s">
        <v>392</v>
      </c>
      <c r="F77" s="4" t="s">
        <v>19</v>
      </c>
      <c r="G77" s="4" t="s">
        <v>396</v>
      </c>
      <c r="H77" s="4" t="s">
        <v>456</v>
      </c>
      <c r="I77" s="4" t="s">
        <v>457</v>
      </c>
      <c r="J77" s="4"/>
      <c r="K77" s="4"/>
      <c r="L77" s="4" t="s">
        <v>4</v>
      </c>
      <c r="M77" s="5">
        <f t="shared" si="2"/>
        <v>1</v>
      </c>
    </row>
    <row r="78" spans="1:13">
      <c r="A78" s="4" t="s">
        <v>458</v>
      </c>
      <c r="B78" s="4" t="s">
        <v>38</v>
      </c>
      <c r="C78" s="4" t="s">
        <v>459</v>
      </c>
      <c r="D78" s="4" t="s">
        <v>460</v>
      </c>
      <c r="E78" s="4" t="s">
        <v>74</v>
      </c>
      <c r="F78" s="4" t="s">
        <v>21</v>
      </c>
      <c r="G78" s="4" t="s">
        <v>53</v>
      </c>
      <c r="H78" s="4" t="s">
        <v>461</v>
      </c>
      <c r="I78" s="4" t="s">
        <v>462</v>
      </c>
      <c r="J78" s="4"/>
      <c r="K78" s="4"/>
      <c r="L78" s="4" t="s">
        <v>650</v>
      </c>
      <c r="M78" s="5">
        <f t="shared" si="2"/>
        <v>0</v>
      </c>
    </row>
    <row r="79" spans="1:13" ht="28.5">
      <c r="A79" s="4" t="s">
        <v>463</v>
      </c>
      <c r="B79" s="4" t="s">
        <v>40</v>
      </c>
      <c r="C79" s="4" t="s">
        <v>464</v>
      </c>
      <c r="D79" s="4" t="s">
        <v>465</v>
      </c>
      <c r="E79" s="4" t="s">
        <v>74</v>
      </c>
      <c r="F79" s="4" t="s">
        <v>19</v>
      </c>
      <c r="G79" s="4" t="s">
        <v>466</v>
      </c>
      <c r="H79" s="4" t="s">
        <v>467</v>
      </c>
      <c r="I79" s="4" t="s">
        <v>468</v>
      </c>
      <c r="J79" s="4"/>
      <c r="K79" s="4"/>
      <c r="L79" s="4" t="s">
        <v>650</v>
      </c>
      <c r="M79" s="5">
        <f t="shared" si="2"/>
        <v>0</v>
      </c>
    </row>
  </sheetData>
  <mergeCells count="1">
    <mergeCell ref="A1:M1"/>
  </mergeCells>
  <phoneticPr fontId="9"/>
  <conditionalFormatting sqref="F4:F79">
    <cfRule type="expression" dxfId="10" priority="4">
      <formula>F4="P0"</formula>
    </cfRule>
    <cfRule type="expression" dxfId="9" priority="5">
      <formula>F4="P1"</formula>
    </cfRule>
  </conditionalFormatting>
  <conditionalFormatting sqref="L4:L79">
    <cfRule type="expression" dxfId="8" priority="1">
      <formula>L4="Done"</formula>
    </cfRule>
    <cfRule type="expression" dxfId="7" priority="2">
      <formula>L4="In Progress"</formula>
    </cfRule>
    <cfRule type="expression" dxfId="6" priority="3">
      <formula>L4="Blocked"</formula>
    </cfRule>
  </conditionalFormatting>
  <conditionalFormatting sqref="M4:M79">
    <cfRule type="dataBar" priority="6">
      <dataBar>
        <cfvo type="min"/>
        <cfvo type="max"/>
        <color rgb="FF2B7A78"/>
      </dataBar>
    </cfRule>
    <cfRule type="dataBar" priority="7">
      <dataBar>
        <cfvo type="min"/>
        <cfvo type="max"/>
        <color rgb="FF2B7A78"/>
      </dataBar>
    </cfRule>
    <cfRule type="dataBar" priority="8">
      <dataBar>
        <cfvo type="min"/>
        <cfvo type="max"/>
        <color rgb="FF2B7A78"/>
      </dataBar>
      <extLst>
        <ext xmlns:x14="http://schemas.microsoft.com/office/spreadsheetml/2009/9/main" uri="{B025F937-C7B1-47D3-B67F-A62EFF666E3E}">
          <x14:id>{FE1454F9-B3F9-8F5A-EF39-0B2762DF56FA}</x14:id>
        </ext>
      </extLst>
    </cfRule>
  </conditionalFormatting>
  <dataValidations count="2">
    <dataValidation type="list" sqref="L4:L79" xr:uid="{00000000-0002-0000-0100-000000000000}">
      <formula1>"Not Started,In Progress,Blocked,Done"</formula1>
    </dataValidation>
    <dataValidation type="list" sqref="F4:F79" xr:uid="{00000000-0002-0000-0100-000001000000}">
      <formula1>"P0,P1,P2"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1454F9-B3F9-8F5A-EF39-0B2762DF56FA}">
            <x14:dataBar>
              <x14:cfvo type="min"/>
              <x14:cfvo type="max"/>
              <x14:negativeFillColor auto="1"/>
              <x14:axisColor auto="1"/>
            </x14:dataBar>
          </x14:cfRule>
          <xm:sqref>M4:M79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2"/>
  <sheetViews>
    <sheetView tabSelected="1" topLeftCell="A16" workbookViewId="0">
      <selection activeCell="C10" sqref="C10"/>
    </sheetView>
  </sheetViews>
  <sheetFormatPr defaultRowHeight="14.25"/>
  <cols>
    <col min="1" max="1" width="12" customWidth="1"/>
    <col min="2" max="2" width="32" customWidth="1"/>
    <col min="3" max="3" width="42" customWidth="1"/>
    <col min="4" max="4" width="15" customWidth="1"/>
    <col min="5" max="5" width="10" customWidth="1"/>
    <col min="6" max="6" width="30" customWidth="1"/>
    <col min="7" max="7" width="20" customWidth="1"/>
    <col min="8" max="8" width="42" customWidth="1"/>
    <col min="9" max="9" width="15" customWidth="1"/>
    <col min="10" max="10" width="12" customWidth="1"/>
  </cols>
  <sheetData>
    <row r="1" spans="1:10" ht="30" customHeight="1">
      <c r="A1" s="21" t="s">
        <v>469</v>
      </c>
      <c r="B1" s="17"/>
      <c r="C1" s="17"/>
      <c r="D1" s="17"/>
      <c r="E1" s="17"/>
      <c r="F1" s="17"/>
      <c r="G1" s="17"/>
      <c r="H1" s="17"/>
      <c r="I1" s="17"/>
      <c r="J1" s="17"/>
    </row>
    <row r="3" spans="1:10" ht="27.95" customHeight="1">
      <c r="A3" s="6" t="s">
        <v>470</v>
      </c>
      <c r="B3" s="6" t="s">
        <v>471</v>
      </c>
      <c r="C3" s="6" t="s">
        <v>472</v>
      </c>
      <c r="D3" s="6" t="s">
        <v>12</v>
      </c>
      <c r="E3" s="6" t="s">
        <v>15</v>
      </c>
      <c r="F3" s="6" t="s">
        <v>46</v>
      </c>
      <c r="G3" s="6" t="s">
        <v>45</v>
      </c>
      <c r="H3" s="6" t="s">
        <v>48</v>
      </c>
      <c r="I3" s="6" t="s">
        <v>51</v>
      </c>
      <c r="J3" s="6" t="s">
        <v>52</v>
      </c>
    </row>
    <row r="4" spans="1:10" ht="28.5">
      <c r="A4" s="4" t="s">
        <v>473</v>
      </c>
      <c r="B4" s="4" t="s">
        <v>63</v>
      </c>
      <c r="C4" s="4" t="s">
        <v>474</v>
      </c>
      <c r="D4" s="4" t="s">
        <v>475</v>
      </c>
      <c r="E4" s="4" t="s">
        <v>19</v>
      </c>
      <c r="F4" s="4"/>
      <c r="G4" s="4" t="s">
        <v>62</v>
      </c>
      <c r="H4" s="4" t="s">
        <v>64</v>
      </c>
      <c r="I4" s="4" t="s">
        <v>4</v>
      </c>
      <c r="J4" s="5">
        <f t="shared" ref="J4:J32" si="0">IF(I4="Done",1,IF(I4="In Progress",0.5,IF(I4="Blocked",0.25,0)))</f>
        <v>1</v>
      </c>
    </row>
    <row r="5" spans="1:10">
      <c r="A5" s="4" t="s">
        <v>476</v>
      </c>
      <c r="B5" s="4" t="s">
        <v>660</v>
      </c>
      <c r="C5" s="4" t="s">
        <v>477</v>
      </c>
      <c r="D5" s="4" t="s">
        <v>478</v>
      </c>
      <c r="E5" s="4" t="s">
        <v>19</v>
      </c>
      <c r="F5" s="4" t="s">
        <v>473</v>
      </c>
      <c r="G5" s="4" t="s">
        <v>62</v>
      </c>
      <c r="H5" s="4" t="s">
        <v>479</v>
      </c>
      <c r="I5" s="4" t="s">
        <v>6</v>
      </c>
      <c r="J5" s="5">
        <f t="shared" si="0"/>
        <v>0.5</v>
      </c>
    </row>
    <row r="6" spans="1:10">
      <c r="A6" s="4" t="s">
        <v>480</v>
      </c>
      <c r="B6" s="4" t="s">
        <v>481</v>
      </c>
      <c r="C6" s="4" t="s">
        <v>482</v>
      </c>
      <c r="D6" s="4" t="s">
        <v>478</v>
      </c>
      <c r="E6" s="4" t="s">
        <v>19</v>
      </c>
      <c r="F6" s="4" t="s">
        <v>476</v>
      </c>
      <c r="G6" s="4" t="s">
        <v>62</v>
      </c>
      <c r="H6" s="4" t="s">
        <v>483</v>
      </c>
      <c r="I6" s="4" t="s">
        <v>4</v>
      </c>
      <c r="J6" s="5">
        <f t="shared" si="0"/>
        <v>1</v>
      </c>
    </row>
    <row r="7" spans="1:10">
      <c r="A7" s="4" t="s">
        <v>484</v>
      </c>
      <c r="B7" s="4" t="s">
        <v>485</v>
      </c>
      <c r="C7" s="4" t="s">
        <v>486</v>
      </c>
      <c r="D7" s="4" t="s">
        <v>478</v>
      </c>
      <c r="E7" s="4" t="s">
        <v>21</v>
      </c>
      <c r="F7" s="4" t="s">
        <v>487</v>
      </c>
      <c r="G7" s="4" t="s">
        <v>62</v>
      </c>
      <c r="H7" s="4" t="s">
        <v>488</v>
      </c>
      <c r="I7" s="4" t="s">
        <v>4</v>
      </c>
      <c r="J7" s="5">
        <f t="shared" si="0"/>
        <v>1</v>
      </c>
    </row>
    <row r="8" spans="1:10">
      <c r="A8" s="4" t="s">
        <v>489</v>
      </c>
      <c r="B8" s="4" t="s">
        <v>490</v>
      </c>
      <c r="C8" s="4" t="s">
        <v>491</v>
      </c>
      <c r="D8" s="4" t="s">
        <v>492</v>
      </c>
      <c r="E8" s="4" t="s">
        <v>19</v>
      </c>
      <c r="F8" s="4" t="s">
        <v>493</v>
      </c>
      <c r="G8" s="4" t="s">
        <v>62</v>
      </c>
      <c r="H8" s="4" t="s">
        <v>494</v>
      </c>
      <c r="I8" s="4" t="s">
        <v>4</v>
      </c>
      <c r="J8" s="5">
        <f t="shared" si="0"/>
        <v>1</v>
      </c>
    </row>
    <row r="9" spans="1:10">
      <c r="A9" s="4" t="s">
        <v>495</v>
      </c>
      <c r="B9" s="4" t="s">
        <v>496</v>
      </c>
      <c r="C9" s="4" t="s">
        <v>497</v>
      </c>
      <c r="D9" s="4" t="s">
        <v>498</v>
      </c>
      <c r="E9" s="4" t="s">
        <v>19</v>
      </c>
      <c r="F9" s="4" t="s">
        <v>489</v>
      </c>
      <c r="G9" s="4" t="s">
        <v>62</v>
      </c>
      <c r="H9" s="4" t="s">
        <v>499</v>
      </c>
      <c r="I9" s="4" t="s">
        <v>4</v>
      </c>
      <c r="J9" s="5">
        <f t="shared" si="0"/>
        <v>1</v>
      </c>
    </row>
    <row r="10" spans="1:10">
      <c r="A10" s="4" t="s">
        <v>500</v>
      </c>
      <c r="B10" s="4" t="s">
        <v>179</v>
      </c>
      <c r="C10" s="4" t="s">
        <v>501</v>
      </c>
      <c r="D10" s="4" t="s">
        <v>498</v>
      </c>
      <c r="E10" s="4" t="s">
        <v>19</v>
      </c>
      <c r="F10" s="4" t="s">
        <v>489</v>
      </c>
      <c r="G10" s="4" t="s">
        <v>62</v>
      </c>
      <c r="H10" s="4" t="s">
        <v>502</v>
      </c>
      <c r="I10" s="4" t="s">
        <v>4</v>
      </c>
      <c r="J10" s="5">
        <f t="shared" si="0"/>
        <v>1</v>
      </c>
    </row>
    <row r="11" spans="1:10">
      <c r="A11" s="4" t="s">
        <v>503</v>
      </c>
      <c r="B11" s="4" t="s">
        <v>504</v>
      </c>
      <c r="C11" s="4" t="s">
        <v>505</v>
      </c>
      <c r="D11" s="4" t="s">
        <v>498</v>
      </c>
      <c r="E11" s="4" t="s">
        <v>19</v>
      </c>
      <c r="F11" s="4" t="s">
        <v>506</v>
      </c>
      <c r="G11" s="4" t="s">
        <v>62</v>
      </c>
      <c r="H11" s="4" t="s">
        <v>507</v>
      </c>
      <c r="I11" s="4" t="s">
        <v>4</v>
      </c>
      <c r="J11" s="5">
        <f t="shared" si="0"/>
        <v>1</v>
      </c>
    </row>
    <row r="12" spans="1:10">
      <c r="A12" s="4" t="s">
        <v>508</v>
      </c>
      <c r="B12" s="4" t="s">
        <v>509</v>
      </c>
      <c r="C12" s="4" t="s">
        <v>510</v>
      </c>
      <c r="D12" s="4" t="s">
        <v>511</v>
      </c>
      <c r="E12" s="4" t="s">
        <v>19</v>
      </c>
      <c r="F12" s="4" t="s">
        <v>476</v>
      </c>
      <c r="G12" s="4" t="s">
        <v>62</v>
      </c>
      <c r="H12" s="4" t="s">
        <v>512</v>
      </c>
      <c r="I12" s="4" t="s">
        <v>4</v>
      </c>
      <c r="J12" s="5">
        <f t="shared" si="0"/>
        <v>1</v>
      </c>
    </row>
    <row r="13" spans="1:10">
      <c r="A13" s="4" t="s">
        <v>513</v>
      </c>
      <c r="B13" s="4" t="s">
        <v>514</v>
      </c>
      <c r="C13" s="4" t="s">
        <v>515</v>
      </c>
      <c r="D13" s="4" t="s">
        <v>511</v>
      </c>
      <c r="E13" s="4" t="s">
        <v>19</v>
      </c>
      <c r="F13" s="4" t="s">
        <v>508</v>
      </c>
      <c r="G13" s="4" t="s">
        <v>62</v>
      </c>
      <c r="H13" s="4" t="s">
        <v>516</v>
      </c>
      <c r="I13" s="4" t="s">
        <v>4</v>
      </c>
      <c r="J13" s="5">
        <f t="shared" si="0"/>
        <v>1</v>
      </c>
    </row>
    <row r="14" spans="1:10">
      <c r="A14" s="4" t="s">
        <v>517</v>
      </c>
      <c r="B14" s="4" t="s">
        <v>518</v>
      </c>
      <c r="C14" s="4" t="s">
        <v>519</v>
      </c>
      <c r="D14" s="4" t="s">
        <v>511</v>
      </c>
      <c r="E14" s="4" t="s">
        <v>19</v>
      </c>
      <c r="F14" s="4" t="s">
        <v>508</v>
      </c>
      <c r="G14" s="4" t="s">
        <v>62</v>
      </c>
      <c r="H14" s="4" t="s">
        <v>520</v>
      </c>
      <c r="I14" s="4" t="s">
        <v>4</v>
      </c>
      <c r="J14" s="5">
        <f t="shared" si="0"/>
        <v>1</v>
      </c>
    </row>
    <row r="15" spans="1:10">
      <c r="A15" s="4" t="s">
        <v>521</v>
      </c>
      <c r="B15" s="4" t="s">
        <v>522</v>
      </c>
      <c r="C15" s="4" t="s">
        <v>523</v>
      </c>
      <c r="D15" s="4" t="s">
        <v>524</v>
      </c>
      <c r="E15" s="4" t="s">
        <v>19</v>
      </c>
      <c r="F15" s="4" t="s">
        <v>525</v>
      </c>
      <c r="G15" s="4" t="s">
        <v>62</v>
      </c>
      <c r="H15" s="4" t="s">
        <v>526</v>
      </c>
      <c r="I15" s="4" t="s">
        <v>4</v>
      </c>
      <c r="J15" s="5">
        <f t="shared" si="0"/>
        <v>1</v>
      </c>
    </row>
    <row r="16" spans="1:10">
      <c r="A16" s="4" t="s">
        <v>527</v>
      </c>
      <c r="B16" s="4" t="s">
        <v>528</v>
      </c>
      <c r="C16" s="4" t="s">
        <v>529</v>
      </c>
      <c r="D16" s="4" t="s">
        <v>524</v>
      </c>
      <c r="E16" s="4" t="s">
        <v>19</v>
      </c>
      <c r="F16" s="4" t="s">
        <v>521</v>
      </c>
      <c r="G16" s="4" t="s">
        <v>62</v>
      </c>
      <c r="H16" s="4" t="s">
        <v>530</v>
      </c>
      <c r="I16" s="4" t="s">
        <v>4</v>
      </c>
      <c r="J16" s="5">
        <f t="shared" si="0"/>
        <v>1</v>
      </c>
    </row>
    <row r="17" spans="1:10">
      <c r="A17" s="4" t="s">
        <v>531</v>
      </c>
      <c r="B17" s="4" t="s">
        <v>532</v>
      </c>
      <c r="C17" s="4" t="s">
        <v>533</v>
      </c>
      <c r="D17" s="4" t="s">
        <v>524</v>
      </c>
      <c r="E17" s="4" t="s">
        <v>19</v>
      </c>
      <c r="F17" s="4" t="s">
        <v>521</v>
      </c>
      <c r="G17" s="4" t="s">
        <v>62</v>
      </c>
      <c r="H17" s="4" t="s">
        <v>534</v>
      </c>
      <c r="I17" s="4" t="s">
        <v>4</v>
      </c>
      <c r="J17" s="5">
        <f t="shared" si="0"/>
        <v>1</v>
      </c>
    </row>
    <row r="18" spans="1:10">
      <c r="A18" s="4" t="s">
        <v>535</v>
      </c>
      <c r="B18" s="4" t="s">
        <v>536</v>
      </c>
      <c r="C18" s="4" t="s">
        <v>537</v>
      </c>
      <c r="D18" s="4" t="s">
        <v>538</v>
      </c>
      <c r="E18" s="4" t="s">
        <v>19</v>
      </c>
      <c r="F18" s="4" t="s">
        <v>476</v>
      </c>
      <c r="G18" s="4" t="s">
        <v>62</v>
      </c>
      <c r="H18" s="4" t="s">
        <v>539</v>
      </c>
      <c r="I18" s="4" t="s">
        <v>4</v>
      </c>
      <c r="J18" s="5">
        <f t="shared" si="0"/>
        <v>1</v>
      </c>
    </row>
    <row r="19" spans="1:10">
      <c r="A19" s="4" t="s">
        <v>540</v>
      </c>
      <c r="B19" s="4" t="s">
        <v>541</v>
      </c>
      <c r="C19" s="4" t="s">
        <v>542</v>
      </c>
      <c r="D19" s="4" t="s">
        <v>538</v>
      </c>
      <c r="E19" s="4" t="s">
        <v>19</v>
      </c>
      <c r="F19" s="4" t="s">
        <v>543</v>
      </c>
      <c r="G19" s="4" t="s">
        <v>62</v>
      </c>
      <c r="H19" s="4" t="s">
        <v>276</v>
      </c>
      <c r="I19" s="4" t="s">
        <v>4</v>
      </c>
      <c r="J19" s="5">
        <f t="shared" si="0"/>
        <v>1</v>
      </c>
    </row>
    <row r="20" spans="1:10">
      <c r="A20" s="4" t="s">
        <v>544</v>
      </c>
      <c r="B20" s="4" t="s">
        <v>545</v>
      </c>
      <c r="C20" s="4" t="s">
        <v>546</v>
      </c>
      <c r="D20" s="4" t="s">
        <v>538</v>
      </c>
      <c r="E20" s="4" t="s">
        <v>19</v>
      </c>
      <c r="F20" s="4" t="s">
        <v>547</v>
      </c>
      <c r="G20" s="4" t="s">
        <v>62</v>
      </c>
      <c r="H20" s="4" t="s">
        <v>548</v>
      </c>
      <c r="I20" s="4" t="s">
        <v>4</v>
      </c>
      <c r="J20" s="5">
        <f t="shared" si="0"/>
        <v>1</v>
      </c>
    </row>
    <row r="21" spans="1:10" ht="28.5">
      <c r="A21" s="4" t="s">
        <v>549</v>
      </c>
      <c r="B21" s="4" t="s">
        <v>284</v>
      </c>
      <c r="C21" s="4" t="s">
        <v>550</v>
      </c>
      <c r="D21" s="4" t="s">
        <v>538</v>
      </c>
      <c r="E21" s="4" t="s">
        <v>19</v>
      </c>
      <c r="F21" s="4" t="s">
        <v>551</v>
      </c>
      <c r="G21" s="4" t="s">
        <v>62</v>
      </c>
      <c r="H21" s="4" t="s">
        <v>552</v>
      </c>
      <c r="I21" s="4" t="s">
        <v>4</v>
      </c>
      <c r="J21" s="5">
        <f t="shared" si="0"/>
        <v>1</v>
      </c>
    </row>
    <row r="22" spans="1:10">
      <c r="A22" s="4" t="s">
        <v>553</v>
      </c>
      <c r="B22" s="4" t="s">
        <v>302</v>
      </c>
      <c r="C22" s="4" t="s">
        <v>554</v>
      </c>
      <c r="D22" s="4" t="s">
        <v>538</v>
      </c>
      <c r="E22" s="4" t="s">
        <v>19</v>
      </c>
      <c r="F22" s="4" t="s">
        <v>555</v>
      </c>
      <c r="G22" s="4" t="s">
        <v>62</v>
      </c>
      <c r="H22" s="4" t="s">
        <v>556</v>
      </c>
      <c r="I22" s="4" t="s">
        <v>4</v>
      </c>
      <c r="J22" s="5">
        <f t="shared" si="0"/>
        <v>1</v>
      </c>
    </row>
    <row r="23" spans="1:10">
      <c r="A23" s="4" t="s">
        <v>557</v>
      </c>
      <c r="B23" s="4" t="s">
        <v>312</v>
      </c>
      <c r="C23" s="4" t="s">
        <v>558</v>
      </c>
      <c r="D23" s="4" t="s">
        <v>538</v>
      </c>
      <c r="E23" s="4" t="s">
        <v>21</v>
      </c>
      <c r="F23" s="4" t="s">
        <v>559</v>
      </c>
      <c r="G23" s="4" t="s">
        <v>62</v>
      </c>
      <c r="H23" s="4" t="s">
        <v>560</v>
      </c>
      <c r="I23" s="4" t="s">
        <v>4</v>
      </c>
      <c r="J23" s="5">
        <f t="shared" si="0"/>
        <v>1</v>
      </c>
    </row>
    <row r="24" spans="1:10">
      <c r="A24" s="4" t="s">
        <v>561</v>
      </c>
      <c r="B24" s="4" t="s">
        <v>562</v>
      </c>
      <c r="C24" s="4" t="s">
        <v>563</v>
      </c>
      <c r="D24" s="4" t="s">
        <v>538</v>
      </c>
      <c r="E24" s="4" t="s">
        <v>19</v>
      </c>
      <c r="F24" s="4" t="s">
        <v>564</v>
      </c>
      <c r="G24" s="4" t="s">
        <v>62</v>
      </c>
      <c r="H24" s="4" t="s">
        <v>565</v>
      </c>
      <c r="I24" s="4" t="s">
        <v>4</v>
      </c>
      <c r="J24" s="5">
        <f t="shared" si="0"/>
        <v>1</v>
      </c>
    </row>
    <row r="25" spans="1:10">
      <c r="A25" s="4" t="s">
        <v>566</v>
      </c>
      <c r="B25" s="4" t="s">
        <v>567</v>
      </c>
      <c r="C25" s="4" t="s">
        <v>568</v>
      </c>
      <c r="D25" s="4" t="s">
        <v>569</v>
      </c>
      <c r="E25" s="4" t="s">
        <v>19</v>
      </c>
      <c r="F25" s="4" t="s">
        <v>570</v>
      </c>
      <c r="G25" s="4" t="s">
        <v>330</v>
      </c>
      <c r="H25" s="4" t="s">
        <v>571</v>
      </c>
      <c r="I25" s="4" t="s">
        <v>4</v>
      </c>
      <c r="J25" s="5">
        <f t="shared" si="0"/>
        <v>1</v>
      </c>
    </row>
    <row r="26" spans="1:10">
      <c r="A26" s="4" t="s">
        <v>572</v>
      </c>
      <c r="B26" s="4" t="s">
        <v>573</v>
      </c>
      <c r="C26" s="4" t="s">
        <v>574</v>
      </c>
      <c r="D26" s="4" t="s">
        <v>575</v>
      </c>
      <c r="E26" s="4" t="s">
        <v>19</v>
      </c>
      <c r="F26" s="4" t="s">
        <v>576</v>
      </c>
      <c r="G26" s="4" t="s">
        <v>62</v>
      </c>
      <c r="H26" s="4" t="s">
        <v>577</v>
      </c>
      <c r="I26" s="4" t="s">
        <v>4</v>
      </c>
      <c r="J26" s="5">
        <f t="shared" si="0"/>
        <v>1</v>
      </c>
    </row>
    <row r="27" spans="1:10">
      <c r="A27" s="4" t="s">
        <v>578</v>
      </c>
      <c r="B27" s="4" t="s">
        <v>579</v>
      </c>
      <c r="C27" s="4" t="s">
        <v>580</v>
      </c>
      <c r="D27" s="4" t="s">
        <v>575</v>
      </c>
      <c r="E27" s="4" t="s">
        <v>19</v>
      </c>
      <c r="F27" s="4" t="s">
        <v>581</v>
      </c>
      <c r="G27" s="4" t="s">
        <v>62</v>
      </c>
      <c r="H27" s="4" t="s">
        <v>582</v>
      </c>
      <c r="I27" s="4" t="s">
        <v>4</v>
      </c>
      <c r="J27" s="5">
        <f t="shared" si="0"/>
        <v>1</v>
      </c>
    </row>
    <row r="28" spans="1:10">
      <c r="A28" s="4" t="s">
        <v>583</v>
      </c>
      <c r="B28" s="4" t="s">
        <v>584</v>
      </c>
      <c r="C28" s="4" t="s">
        <v>585</v>
      </c>
      <c r="D28" s="4" t="s">
        <v>575</v>
      </c>
      <c r="E28" s="4" t="s">
        <v>21</v>
      </c>
      <c r="F28" s="4" t="s">
        <v>561</v>
      </c>
      <c r="G28" s="4" t="s">
        <v>62</v>
      </c>
      <c r="H28" s="4" t="s">
        <v>586</v>
      </c>
      <c r="I28" s="4" t="s">
        <v>4</v>
      </c>
      <c r="J28" s="5">
        <f t="shared" si="0"/>
        <v>1</v>
      </c>
    </row>
    <row r="29" spans="1:10" ht="28.5">
      <c r="A29" s="4" t="s">
        <v>587</v>
      </c>
      <c r="B29" s="4" t="s">
        <v>390</v>
      </c>
      <c r="C29" s="4" t="s">
        <v>588</v>
      </c>
      <c r="D29" s="4" t="s">
        <v>575</v>
      </c>
      <c r="E29" s="4" t="s">
        <v>19</v>
      </c>
      <c r="F29" s="4" t="s">
        <v>589</v>
      </c>
      <c r="G29" s="4" t="s">
        <v>392</v>
      </c>
      <c r="H29" s="4" t="s">
        <v>590</v>
      </c>
      <c r="I29" s="4" t="s">
        <v>4</v>
      </c>
      <c r="J29" s="5">
        <f t="shared" si="0"/>
        <v>1</v>
      </c>
    </row>
    <row r="30" spans="1:10">
      <c r="A30" s="4" t="s">
        <v>591</v>
      </c>
      <c r="B30" s="4" t="s">
        <v>657</v>
      </c>
      <c r="C30" s="4" t="s">
        <v>592</v>
      </c>
      <c r="D30" s="4" t="s">
        <v>593</v>
      </c>
      <c r="E30" s="4" t="s">
        <v>19</v>
      </c>
      <c r="F30" s="4" t="s">
        <v>587</v>
      </c>
      <c r="G30" s="4" t="s">
        <v>56</v>
      </c>
      <c r="H30" s="4" t="s">
        <v>594</v>
      </c>
      <c r="I30" s="4" t="s">
        <v>650</v>
      </c>
      <c r="J30" s="5">
        <f t="shared" si="0"/>
        <v>0</v>
      </c>
    </row>
    <row r="31" spans="1:10">
      <c r="A31" s="4" t="s">
        <v>595</v>
      </c>
      <c r="B31" s="4" t="s">
        <v>658</v>
      </c>
      <c r="C31" s="4" t="s">
        <v>596</v>
      </c>
      <c r="D31" s="4" t="s">
        <v>597</v>
      </c>
      <c r="E31" s="4" t="s">
        <v>19</v>
      </c>
      <c r="F31" s="4" t="s">
        <v>598</v>
      </c>
      <c r="G31" s="4" t="s">
        <v>224</v>
      </c>
      <c r="H31" s="4" t="s">
        <v>599</v>
      </c>
      <c r="I31" s="4" t="s">
        <v>6</v>
      </c>
      <c r="J31" s="5">
        <f t="shared" si="0"/>
        <v>0.5</v>
      </c>
    </row>
    <row r="32" spans="1:10">
      <c r="A32" s="4" t="s">
        <v>600</v>
      </c>
      <c r="B32" s="4" t="s">
        <v>659</v>
      </c>
      <c r="C32" s="4" t="s">
        <v>601</v>
      </c>
      <c r="D32" s="4" t="s">
        <v>602</v>
      </c>
      <c r="E32" s="4" t="s">
        <v>19</v>
      </c>
      <c r="F32" s="4" t="s">
        <v>595</v>
      </c>
      <c r="G32" s="4" t="s">
        <v>74</v>
      </c>
      <c r="H32" s="4" t="s">
        <v>603</v>
      </c>
      <c r="I32" s="4" t="s">
        <v>650</v>
      </c>
      <c r="J32" s="5">
        <f t="shared" si="0"/>
        <v>0</v>
      </c>
    </row>
  </sheetData>
  <mergeCells count="1">
    <mergeCell ref="A1:J1"/>
  </mergeCells>
  <phoneticPr fontId="9"/>
  <conditionalFormatting sqref="I4:I32">
    <cfRule type="expression" dxfId="5" priority="1">
      <formula>I4="Done"</formula>
    </cfRule>
    <cfRule type="expression" dxfId="4" priority="2">
      <formula>I4="In Progress"</formula>
    </cfRule>
    <cfRule type="expression" dxfId="3" priority="3">
      <formula>I4="Blocked"</formula>
    </cfRule>
  </conditionalFormatting>
  <conditionalFormatting sqref="J4:J32">
    <cfRule type="dataBar" priority="4">
      <dataBar>
        <cfvo type="min"/>
        <cfvo type="max"/>
        <color rgb="FF245B8A"/>
      </dataBar>
    </cfRule>
    <cfRule type="dataBar" priority="5">
      <dataBar>
        <cfvo type="min"/>
        <cfvo type="max"/>
        <color rgb="FF245B8A"/>
      </dataBar>
    </cfRule>
    <cfRule type="dataBar" priority="6">
      <dataBar>
        <cfvo type="min"/>
        <cfvo type="max"/>
        <color rgb="FF245B8A"/>
      </dataBar>
      <extLst>
        <ext xmlns:x14="http://schemas.microsoft.com/office/spreadsheetml/2009/9/main" uri="{B025F937-C7B1-47D3-B67F-A62EFF666E3E}">
          <x14:id>{DD10834D-725A-72C3-FE05-4238684D9FA3}</x14:id>
        </ext>
      </extLst>
    </cfRule>
  </conditionalFormatting>
  <dataValidations count="2">
    <dataValidation type="list" sqref="I4:I32" xr:uid="{00000000-0002-0000-0200-000000000000}">
      <formula1>"Not Started,In Progress,Blocked,Done"</formula1>
    </dataValidation>
    <dataValidation type="list" sqref="E4:E32" xr:uid="{00000000-0002-0000-0200-000001000000}">
      <formula1>"P0,P1,P2"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10834D-725A-72C3-FE05-4238684D9FA3}">
            <x14:dataBar>
              <x14:cfvo type="min"/>
              <x14:cfvo type="max"/>
              <x14:negativeFillColor auto="1"/>
              <x14:axisColor auto="1"/>
            </x14:dataBar>
          </x14:cfRule>
          <xm:sqref>J4:J32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"/>
  <sheetViews>
    <sheetView workbookViewId="0">
      <selection sqref="A1:G1"/>
    </sheetView>
  </sheetViews>
  <sheetFormatPr defaultRowHeight="14.25"/>
  <cols>
    <col min="1" max="1" width="8" customWidth="1"/>
    <col min="2" max="2" width="28" customWidth="1"/>
    <col min="3" max="3" width="42" customWidth="1"/>
    <col min="4" max="4" width="18" customWidth="1"/>
    <col min="5" max="5" width="42" customWidth="1"/>
    <col min="6" max="6" width="15" customWidth="1"/>
    <col min="7" max="7" width="30" customWidth="1"/>
  </cols>
  <sheetData>
    <row r="1" spans="1:7" ht="30" customHeight="1">
      <c r="A1" s="21" t="s">
        <v>604</v>
      </c>
      <c r="B1" s="17"/>
      <c r="C1" s="17"/>
      <c r="D1" s="17"/>
      <c r="E1" s="17"/>
      <c r="F1" s="17"/>
      <c r="G1" s="17"/>
    </row>
    <row r="3" spans="1:7" ht="27.95" customHeight="1">
      <c r="A3" s="3" t="s">
        <v>605</v>
      </c>
      <c r="B3" s="3" t="s">
        <v>606</v>
      </c>
      <c r="C3" s="3" t="s">
        <v>607</v>
      </c>
      <c r="D3" s="3" t="s">
        <v>608</v>
      </c>
      <c r="E3" s="3" t="s">
        <v>609</v>
      </c>
      <c r="F3" s="3" t="s">
        <v>51</v>
      </c>
      <c r="G3" s="3" t="s">
        <v>610</v>
      </c>
    </row>
    <row r="4" spans="1:7">
      <c r="A4" s="4" t="s">
        <v>611</v>
      </c>
      <c r="B4" s="4" t="s">
        <v>612</v>
      </c>
      <c r="C4" s="4" t="s">
        <v>613</v>
      </c>
      <c r="D4" s="4" t="s">
        <v>614</v>
      </c>
      <c r="E4" s="4" t="s">
        <v>615</v>
      </c>
      <c r="F4" s="4" t="s">
        <v>4</v>
      </c>
      <c r="G4" s="4"/>
    </row>
    <row r="5" spans="1:7" ht="28.5">
      <c r="A5" s="4" t="s">
        <v>616</v>
      </c>
      <c r="B5" s="4" t="s">
        <v>617</v>
      </c>
      <c r="C5" s="4" t="s">
        <v>618</v>
      </c>
      <c r="D5" s="4" t="s">
        <v>619</v>
      </c>
      <c r="E5" s="4" t="s">
        <v>620</v>
      </c>
      <c r="F5" s="4" t="s">
        <v>4</v>
      </c>
      <c r="G5" s="4"/>
    </row>
    <row r="6" spans="1:7">
      <c r="A6" s="4" t="s">
        <v>621</v>
      </c>
      <c r="B6" s="4" t="s">
        <v>622</v>
      </c>
      <c r="C6" s="4" t="s">
        <v>623</v>
      </c>
      <c r="D6" s="4" t="s">
        <v>624</v>
      </c>
      <c r="E6" s="4" t="s">
        <v>625</v>
      </c>
      <c r="F6" s="4" t="s">
        <v>4</v>
      </c>
      <c r="G6" s="4"/>
    </row>
    <row r="7" spans="1:7">
      <c r="A7" s="4" t="s">
        <v>626</v>
      </c>
      <c r="B7" s="4" t="s">
        <v>627</v>
      </c>
      <c r="C7" s="4" t="s">
        <v>628</v>
      </c>
      <c r="D7" s="4" t="s">
        <v>629</v>
      </c>
      <c r="E7" s="4" t="s">
        <v>630</v>
      </c>
      <c r="F7" s="4" t="s">
        <v>4</v>
      </c>
      <c r="G7" s="4"/>
    </row>
    <row r="8" spans="1:7" ht="85.5">
      <c r="A8" s="4" t="s">
        <v>631</v>
      </c>
      <c r="B8" s="4" t="s">
        <v>632</v>
      </c>
      <c r="C8" s="4" t="s">
        <v>633</v>
      </c>
      <c r="D8" s="4" t="s">
        <v>634</v>
      </c>
      <c r="E8" s="4" t="s">
        <v>635</v>
      </c>
      <c r="F8" s="4" t="s">
        <v>4</v>
      </c>
      <c r="G8" s="4" t="s">
        <v>655</v>
      </c>
    </row>
    <row r="9" spans="1:7" ht="28.5">
      <c r="A9" s="4" t="s">
        <v>636</v>
      </c>
      <c r="B9" s="4" t="s">
        <v>637</v>
      </c>
      <c r="C9" s="4" t="s">
        <v>638</v>
      </c>
      <c r="D9" s="4" t="s">
        <v>575</v>
      </c>
      <c r="E9" s="4" t="s">
        <v>639</v>
      </c>
      <c r="F9" s="4" t="s">
        <v>4</v>
      </c>
      <c r="G9" s="4" t="s">
        <v>656</v>
      </c>
    </row>
    <row r="10" spans="1:7">
      <c r="A10" s="4" t="s">
        <v>640</v>
      </c>
      <c r="B10" s="4" t="s">
        <v>641</v>
      </c>
      <c r="C10" s="4" t="s">
        <v>642</v>
      </c>
      <c r="D10" s="4" t="s">
        <v>593</v>
      </c>
      <c r="E10" s="4" t="s">
        <v>643</v>
      </c>
      <c r="F10" s="4" t="s">
        <v>650</v>
      </c>
      <c r="G10" s="4"/>
    </row>
    <row r="11" spans="1:7">
      <c r="A11" s="4" t="s">
        <v>644</v>
      </c>
      <c r="B11" s="4" t="s">
        <v>645</v>
      </c>
      <c r="C11" s="4" t="s">
        <v>646</v>
      </c>
      <c r="D11" s="4" t="s">
        <v>647</v>
      </c>
      <c r="E11" s="4" t="s">
        <v>648</v>
      </c>
      <c r="F11" s="4" t="s">
        <v>650</v>
      </c>
      <c r="G11" s="4"/>
    </row>
  </sheetData>
  <mergeCells count="1">
    <mergeCell ref="A1:G1"/>
  </mergeCells>
  <phoneticPr fontId="9"/>
  <conditionalFormatting sqref="F4:F11">
    <cfRule type="expression" dxfId="2" priority="1">
      <formula>F4="Done"</formula>
    </cfRule>
    <cfRule type="expression" dxfId="1" priority="2">
      <formula>F4="In Progress"</formula>
    </cfRule>
    <cfRule type="expression" dxfId="0" priority="3">
      <formula>F4="Blocked"</formula>
    </cfRule>
  </conditionalFormatting>
  <dataValidations count="1">
    <dataValidation type="list" sqref="F4:F11" xr:uid="{00000000-0002-0000-0300-000000000000}">
      <formula1>"Not Started,In Progress,Blocked,Done"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workbookViewId="0"/>
  </sheetViews>
  <sheetFormatPr defaultRowHeight="14.25"/>
  <cols>
    <col min="1" max="3" width="24" customWidth="1"/>
    <col min="5" max="5" width="50" customWidth="1"/>
  </cols>
  <sheetData>
    <row r="1" spans="1:5" ht="29.25">
      <c r="A1" s="1" t="s">
        <v>51</v>
      </c>
      <c r="B1" s="1" t="s">
        <v>15</v>
      </c>
      <c r="C1" s="1" t="s">
        <v>45</v>
      </c>
      <c r="E1" s="2" t="s">
        <v>649</v>
      </c>
    </row>
    <row r="2" spans="1:5">
      <c r="A2" t="s">
        <v>650</v>
      </c>
      <c r="B2" t="s">
        <v>19</v>
      </c>
      <c r="C2" t="s">
        <v>56</v>
      </c>
    </row>
    <row r="3" spans="1:5">
      <c r="A3" t="s">
        <v>6</v>
      </c>
      <c r="B3" t="s">
        <v>21</v>
      </c>
      <c r="C3" t="s">
        <v>62</v>
      </c>
    </row>
    <row r="4" spans="1:5">
      <c r="A4" t="s">
        <v>8</v>
      </c>
      <c r="B4" t="s">
        <v>23</v>
      </c>
      <c r="C4" t="s">
        <v>651</v>
      </c>
    </row>
    <row r="5" spans="1:5">
      <c r="A5" t="s">
        <v>4</v>
      </c>
      <c r="C5" t="s">
        <v>80</v>
      </c>
    </row>
    <row r="6" spans="1:5">
      <c r="C6" t="s">
        <v>68</v>
      </c>
    </row>
    <row r="7" spans="1:5">
      <c r="C7" t="s">
        <v>74</v>
      </c>
    </row>
    <row r="8" spans="1:5">
      <c r="C8" t="s">
        <v>224</v>
      </c>
    </row>
    <row r="9" spans="1:5">
      <c r="C9" t="s">
        <v>392</v>
      </c>
    </row>
    <row r="10" spans="1:5">
      <c r="C10" t="s">
        <v>330</v>
      </c>
    </row>
    <row r="11" spans="1:5">
      <c r="C11" t="s">
        <v>652</v>
      </c>
    </row>
  </sheetData>
  <phoneticPr fontId="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WBS</vt:lpstr>
      <vt:lpstr>Codex Issues</vt:lpstr>
      <vt:lpstr>Milestones</vt:lpstr>
      <vt:lpstr>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shun .t</cp:lastModifiedBy>
  <dcterms:modified xsi:type="dcterms:W3CDTF">2026-09-08T18:22:13Z</dcterms:modified>
</cp:coreProperties>
</file>