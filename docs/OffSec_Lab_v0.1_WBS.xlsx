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cb46abe97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53939b28814eb6"/>
    <x:sheet xmlns:r="http://schemas.openxmlformats.org/officeDocument/2006/relationships" name="WBS" sheetId="2" r:id="R3ade1f3b589b41ff"/>
    <x:sheet xmlns:r="http://schemas.openxmlformats.org/officeDocument/2006/relationships" name="Codex Issues" sheetId="3" r:id="R21fc67a7501b44d7"/>
    <x:sheet xmlns:r="http://schemas.openxmlformats.org/officeDocument/2006/relationships" name="Milestones" sheetId="4" r:id="R19ff07d3c9d540c0"/>
    <x:sheet xmlns:r="http://schemas.openxmlformats.org/officeDocument/2006/relationships" name="Master" sheetId="5" r:id="R58785eef43134cba"/>
  </x:sheets>
</x:workbook>
</file>

<file path=xl/sharedStrings.xml><?xml version="1.0" encoding="utf-8"?>
<x:sst xmlns:x="http://schemas.openxmlformats.org/spreadsheetml/2006/main">
  <x:si>
    <x:t xml:space="preserve">OffSec Lab v0.1 — Project Dashboard</x:t>
  </x:si>
  <x:si>
    <x:t xml:space="preserve">KPI</x:t>
  </x:si>
  <x:si>
    <x:t xml:space="preserve">Total WBS Tasks</x:t>
  </x:si>
  <x:si>
    <x:t xml:space="preserve">Total Codex Issues</x:t>
  </x:si>
  <x:si>
    <x:t xml:space="preserve">Done</x:t>
  </x:si>
  <x:si>
    <x:t xml:space="preserve">Issue Done</x:t>
  </x:si>
  <x:si>
    <x:t xml:space="preserve">In Progress</x:t>
  </x:si>
  <x:si>
    <x:t xml:space="preserve">P0 Issues</x:t>
  </x:si>
  <x:si>
    <x:t xml:space="preserve">Blocked</x:t>
  </x:si>
  <x:si>
    <x:t xml:space="preserve">Milestones</x:t>
  </x:si>
  <x:si>
    <x:t xml:space="preserve">Overall Progress</x:t>
  </x:si>
  <x:si>
    <x:t xml:space="preserve">Milestone Done</x:t>
  </x:si>
  <x:si>
    <x:t xml:space="preserve">Phase</x:t>
  </x:si>
  <x:si>
    <x:t xml:space="preserve">Tasks</x:t>
  </x:si>
  <x:si>
    <x:t xml:space="preserve">Completion</x:t>
  </x:si>
  <x:si>
    <x:t xml:space="preserve">Priority</x:t>
  </x:si>
  <x:si>
    <x:t xml:space="preserve">WBS Tasks</x:t>
  </x:si>
  <x:si>
    <x:t xml:space="preserve">Codex Issues</x:t>
  </x:si>
  <x:si>
    <x:t xml:space="preserve">Phase 0: Project Foundation</x:t>
  </x:si>
  <x:si>
    <x:t xml:space="preserve">P0</x:t>
  </x:si>
  <x:si>
    <x:t xml:space="preserve">Phase 1: Basic Design</x:t>
  </x:si>
  <x:si>
    <x:t xml:space="preserve">P1</x:t>
  </x:si>
  <x:si>
    <x:t xml:space="preserve">Phase 2: Development Environment</x:t>
  </x:si>
  <x:si>
    <x:t xml:space="preserve">P2</x:t>
  </x:si>
  <x:si>
    <x:t xml:space="preserve">Phase 3: Backend / Database</x:t>
  </x:si>
  <x:si>
    <x:t xml:space="preserve">Phase 4: Backend API</x:t>
  </x:si>
  <x:si>
    <x:t xml:space="preserve">Phase 5: Lab Infrastructure</x:t>
  </x:si>
  <x:si>
    <x:t xml:space="preserve">MVP v0.1 Scope</x:t>
  </x:si>
  <x:si>
    <x:t xml:space="preserve">Phase 6: Lab Controller</x:t>
  </x:si>
  <x:si>
    <x:t xml:space="preserve">Core Flow</x:t>
  </x:si>
  <x:si>
    <x:t xml:space="preserve">Phase 7: Frontend</x:t>
  </x:si>
  <x:si>
    <x:t xml:space="preserve">Mission選択 → Lab起動 → Nmap → Challenge回答 → Mission Complete</x:t>
  </x:si>
  <x:si>
    <x:t xml:space="preserve">Phase 8: Mission 01 Content</x:t>
  </x:si>
  <x:si>
    <x:t xml:space="preserve">P0 Focus</x:t>
  </x:si>
  <x:si>
    <x:t xml:space="preserve">Phase 9: Testing</x:t>
  </x:si>
  <x:si>
    <x:t xml:space="preserve">Docker隔離 / Lab Controller / Mission Engine / E2E</x:t>
  </x:si>
  <x:si>
    <x:t xml:space="preserve">Phase 10: Security Assessment</x:t>
  </x:si>
  <x:si>
    <x:t xml:space="preserve">Deferred</x:t>
  </x:si>
  <x:si>
    <x:t xml:space="preserve">Phase 11: Documentation</x:t>
  </x:si>
  <x:si>
    <x:t xml:space="preserve">AI Mentor / XP / Browser Terminal / SQLi等はv0.2以降</x:t>
  </x:si>
  <x:si>
    <x:t xml:space="preserve">Phase 12: MVP Acceptance</x:t>
  </x:si>
  <x:si>
    <x:t xml:space="preserve">OffSec Lab v0.1 — Detailed WBS</x:t>
  </x:si>
  <x:si>
    <x:t xml:space="preserve">WBS ID</x:t>
  </x:si>
  <x:si>
    <x:t xml:space="preserve">Task</x:t>
  </x:si>
  <x:si>
    <x:t xml:space="preserve">概要</x:t>
  </x:si>
  <x:si>
    <x:t xml:space="preserve">Owner</x:t>
  </x:si>
  <x:si>
    <x:t xml:space="preserve">Depends On</x:t>
  </x:si>
  <x:si>
    <x:t xml:space="preserve">Deliverable</x:t>
  </x:si>
  <x:si>
    <x:t xml:space="preserve">Acceptance Criteria</x:t>
  </x:si>
  <x:si>
    <x:t xml:space="preserve">予定開始</x:t>
  </x:si>
  <x:si>
    <x:t xml:space="preserve">予定完了</x:t>
  </x:si>
  <x:si>
    <x:t xml:space="preserve">Status</x:t>
  </x:si>
  <x:si>
    <x:t xml:space="preserve">Progress</x:t>
  </x:si>
  <x:si>
    <x:t xml:space="preserve">0.1</x:t>
  </x:si>
  <x:si>
    <x:t xml:space="preserve">Repository作成</x:t>
  </x:si>
  <x:si>
    <x:t xml:space="preserve">Git Repositoryを作成し、main branchを準備する。</x:t>
  </x:si>
  <x:si>
    <x:t xml:space="preserve">ユーザー</x:t>
  </x:si>
  <x:si>
    <x:t xml:space="preserve">Git Repository</x:t>
  </x:si>
  <x:si>
    <x:t xml:space="preserve">Git初期化済み／main branchが存在する</x:t>
  </x:si>
  <x:si>
    <x:t xml:space="preserve">0.2</x:t>
  </x:si>
  <x:si>
    <x:t xml:space="preserve">ディレクトリ構成作成</x:t>
  </x:si>
  <x:si>
    <x:t xml:space="preserve">docs/frontend/backend/challenges/infra/tests/scripts等の初期構成を作成する。</x:t>
  </x:si>
  <x:si>
    <x:t xml:space="preserve">Codex</x:t>
  </x:si>
  <x:si>
    <x:t xml:space="preserve">Project Scaffold</x:t>
  </x:si>
  <x:si>
    <x:t xml:space="preserve">基本ディレクトリと主要ファイルが存在する</x:t>
  </x:si>
  <x:si>
    <x:t xml:space="preserve">0.3</x:t>
  </x:si>
  <x:si>
    <x:t xml:space="preserve">AGENTS.md作成</x:t>
  </x:si>
  <x:si>
    <x:t xml:space="preserve">Codex向けにPurpose/Architecture/Coding/Testing/Security/Documentationルールを定義する。</x:t>
  </x:si>
  <x:si>
    <x:t xml:space="preserve">ChatGPT / ユーザー</x:t>
  </x:si>
  <x:si>
    <x:t xml:space="preserve">AGENTS.md</x:t>
  </x:si>
  <x:si>
    <x:t xml:space="preserve">Codexがプロジェクト方針を参照できる</x:t>
  </x:si>
  <x:si>
    <x:t xml:space="preserve">0.4</x:t>
  </x:si>
  <x:si>
    <x:t xml:space="preserve">Git運用ルール決定</x:t>
  </x:si>
  <x:si>
    <x:t xml:space="preserve">feature branch・PR・レビュー・Commit prefix等の運用ルールを確定する。</x:t>
  </x:si>
  <x:si>
    <x:t xml:space="preserve">ユーザー / ChatGPT</x:t>
  </x:si>
  <x:si>
    <x:t xml:space="preserve">Git運用ルール</x:t>
  </x:si>
  <x:si>
    <x:t xml:space="preserve">branch/PR/commit方針が文書化されている</x:t>
  </x:si>
  <x:si>
    <x:t xml:space="preserve">1.1</x:t>
  </x:si>
  <x:si>
    <x:t xml:space="preserve">システム構成設計</x:t>
  </x:si>
  <x:si>
    <x:t xml:space="preserve">Browser→Frontend→Backend→DB→Lab Controller→Docker Networkの構成を設計する。</x:t>
  </x:si>
  <x:si>
    <x:t xml:space="preserve">ChatGPT / Work</x:t>
  </x:si>
  <x:si>
    <x:t xml:space="preserve">docs/design/architecture.md</x:t>
  </x:si>
  <x:si>
    <x:t xml:space="preserve">主要コンポーネントと責務・接続関係が定義されている</x:t>
  </x:si>
  <x:si>
    <x:t xml:space="preserve">1.2</x:t>
  </x:si>
  <x:si>
    <x:t xml:space="preserve">Frontend基本設計</x:t>
  </x:si>
  <x:si>
    <x:t xml:space="preserve">Page/Component/API通信/State管理を設計する。</x:t>
  </x:si>
  <x:si>
    <x:t xml:space="preserve">docs/design/frontend_design.md</x:t>
  </x:si>
  <x:si>
    <x:t xml:space="preserve">主要画面とコンポーネント責務が定義されている</x:t>
  </x:si>
  <x:si>
    <x:t xml:space="preserve">1.3</x:t>
  </x:si>
  <x:si>
    <x:t xml:space="preserve">Backend基本設計</x:t>
  </x:si>
  <x:si>
    <x:t xml:space="preserve">API/Service/Repository/Mission/Challenge/Lab管理を設計する。</x:t>
  </x:si>
  <x:si>
    <x:t xml:space="preserve">docs/design/backend_design.md</x:t>
  </x:si>
  <x:si>
    <x:t xml:space="preserve">Backend構成・責務・主要APIが定義されている</x:t>
  </x:si>
  <x:si>
    <x:t xml:space="preserve">1.4</x:t>
  </x:si>
  <x:si>
    <x:t xml:space="preserve">Database設計</x:t>
  </x:si>
  <x:si>
    <x:t xml:space="preserve">Mission/Challenge/Hint/ProgressのEntity・ER・Table定義を作成する。</x:t>
  </x:si>
  <x:si>
    <x:t xml:space="preserve">docs/design/database_design.md</x:t>
  </x:si>
  <x:si>
    <x:t xml:space="preserve">ERと最低限のテーブル定義が確定している</x:t>
  </x:si>
  <x:si>
    <x:t xml:space="preserve">1.5</x:t>
  </x:si>
  <x:si>
    <x:t xml:space="preserve">Lab Architecture設計</x:t>
  </x:si>
  <x:si>
    <x:t xml:space="preserve">Network/IP/Container lifecycle/Isolation/Reset方式を定義する。</x:t>
  </x:si>
  <x:si>
    <x:t xml:space="preserve">docs/design/lab_architecture.md</x:t>
  </x:si>
  <x:si>
    <x:t xml:space="preserve">Attacker/Targetの隔離・起動停止方式が確定している</x:t>
  </x:si>
  <x:si>
    <x:t xml:space="preserve">1.6</x:t>
  </x:si>
  <x:si>
    <x:t xml:space="preserve">Security Design</x:t>
  </x:si>
  <x:si>
    <x:t xml:space="preserve">Network Isolation/Docker Security/Host Protection/Secrets/Ports/Privilegeを設計する。</x:t>
  </x:si>
  <x:si>
    <x:t xml:space="preserve">docs/security/security_design.md</x:t>
  </x:si>
  <x:si>
    <x:t xml:space="preserve">脆弱Targetを安全に隔離する要件が明文化されている</x:t>
  </x:si>
  <x:si>
    <x:t xml:space="preserve">2.1</x:t>
  </x:si>
  <x:si>
    <x:t xml:space="preserve">Docker環境構築</x:t>
  </x:si>
  <x:si>
    <x:t xml:space="preserve">frontend/backend/databaseのDocker Compose基盤を構築する。</x:t>
  </x:si>
  <x:si>
    <x:t xml:space="preserve">1.1,1.3,1.4</x:t>
  </x:si>
  <x:si>
    <x:t xml:space="preserve">compose.yaml</x:t>
  </x:si>
  <x:si>
    <x:t xml:space="preserve">docker compose upで3サービスが起動する</x:t>
  </x:si>
  <x:si>
    <x:t xml:space="preserve">2.2</x:t>
  </x:si>
  <x:si>
    <x:t xml:space="preserve">Backend環境</x:t>
  </x:si>
  <x:si>
    <x:t xml:space="preserve">Python/FastAPI/依存管理/Test Frameworkを構築する。</x:t>
  </x:si>
  <x:si>
    <x:t xml:space="preserve">Backend foundation</x:t>
  </x:si>
  <x:si>
    <x:t xml:space="preserve">GET /health がHTTP 200を返す</x:t>
  </x:si>
  <x:si>
    <x:t xml:space="preserve">2.3</x:t>
  </x:si>
  <x:si>
    <x:t xml:space="preserve">Frontend環境</x:t>
  </x:si>
  <x:si>
    <x:t xml:space="preserve">Next.js/TypeScriptのFrontend基盤を構築する。</x:t>
  </x:si>
  <x:si>
    <x:t xml:space="preserve">Frontend foundation</x:t>
  </x:si>
  <x:si>
    <x:t xml:space="preserve">BrowserからTop Pageへアクセス可能</x:t>
  </x:si>
  <x:si>
    <x:t xml:space="preserve">2.4</x:t>
  </x:si>
  <x:si>
    <x:t xml:space="preserve">PostgreSQL環境</x:t>
  </x:si>
  <x:si>
    <x:t xml:space="preserve">PostgreSQLと接続設定を構築する。</x:t>
  </x:si>
  <x:si>
    <x:t xml:space="preserve">2.1,2.2</x:t>
  </x:si>
  <x:si>
    <x:t xml:space="preserve">Database service</x:t>
  </x:si>
  <x:si>
    <x:t xml:space="preserve">BackendからDBへ接続可能</x:t>
  </x:si>
  <x:si>
    <x:t xml:space="preserve">2.5</x:t>
  </x:si>
  <x:si>
    <x:t xml:space="preserve">Environment Variables</x:t>
  </x:si>
  <x:si>
    <x:t xml:space="preserve">.env.exampleを作成し、.envをGit対象外にする。</x:t>
  </x:si>
  <x:si>
    <x:t xml:space="preserve">.env.example / .gitignore</x:t>
  </x:si>
  <x:si>
    <x:t xml:space="preserve">秘密情報がRepositoryへCommitされない</x:t>
  </x:si>
  <x:si>
    <x:t xml:space="preserve">3.1</x:t>
  </x:si>
  <x:si>
    <x:t xml:space="preserve">Mission Model実装</x:t>
  </x:si>
  <x:si>
    <x:t xml:space="preserve">Mission Entity（id/name/description/difficulty）を実装する。</x:t>
  </x:si>
  <x:si>
    <x:t xml:space="preserve">2.2,2.4</x:t>
  </x:si>
  <x:si>
    <x:t xml:space="preserve">Mission model</x:t>
  </x:si>
  <x:si>
    <x:t xml:space="preserve">Missionデータを保存・取得できる</x:t>
  </x:si>
  <x:si>
    <x:t xml:space="preserve">3.2</x:t>
  </x:si>
  <x:si>
    <x:t xml:space="preserve">Challenge Model実装</x:t>
  </x:si>
  <x:si>
    <x:t xml:space="preserve">Challenge Entity（id/mission_id/title/description/answer/order）を実装する。</x:t>
  </x:si>
  <x:si>
    <x:t xml:space="preserve">Challenge model</x:t>
  </x:si>
  <x:si>
    <x:t xml:space="preserve">Missionに紐づくChallengeを保持できる</x:t>
  </x:si>
  <x:si>
    <x:t xml:space="preserve">3.3</x:t>
  </x:si>
  <x:si>
    <x:t xml:space="preserve">Hint Model実装</x:t>
  </x:si>
  <x:si>
    <x:t xml:space="preserve">Hint Entity（challenge_id/level/content）を実装する。</x:t>
  </x:si>
  <x:si>
    <x:t xml:space="preserve">Hint model</x:t>
  </x:si>
  <x:si>
    <x:t xml:space="preserve">Challengeごとに段階Hintを保持できる</x:t>
  </x:si>
  <x:si>
    <x:t xml:space="preserve">3.4</x:t>
  </x:si>
  <x:si>
    <x:t xml:space="preserve">Progress Model実装</x:t>
  </x:si>
  <x:si>
    <x:t xml:space="preserve">Mission/Challengeの進捗状態を保持する。</x:t>
  </x:si>
  <x:si>
    <x:t xml:space="preserve">3.1,3.2</x:t>
  </x:si>
  <x:si>
    <x:t xml:space="preserve">Progress model</x:t>
  </x:si>
  <x:si>
    <x:t xml:space="preserve">Challenge状態を永続化できる</x:t>
  </x:si>
  <x:si>
    <x:t xml:space="preserve">3.5</x:t>
  </x:si>
  <x:si>
    <x:t xml:space="preserve">Migration構築</x:t>
  </x:si>
  <x:si>
    <x:t xml:space="preserve">DB Migrationを実装し初期DBを再現可能にする。</x:t>
  </x:si>
  <x:si>
    <x:t xml:space="preserve">3.1,3.2,3.3,3.4</x:t>
  </x:si>
  <x:si>
    <x:t xml:space="preserve">Migration files</x:t>
  </x:si>
  <x:si>
    <x:t xml:space="preserve">空DBからSchemaを再作成できる</x:t>
  </x:si>
  <x:si>
    <x:t xml:space="preserve">3.6</x:t>
  </x:si>
  <x:si>
    <x:t xml:space="preserve">Seed Data作成</x:t>
  </x:si>
  <x:si>
    <x:t xml:space="preserve">Mission 01とChallenge/Hintの初期データを投入する。</x:t>
  </x:si>
  <x:si>
    <x:t xml:space="preserve">Seed data</x:t>
  </x:si>
  <x:si>
    <x:t xml:space="preserve">初期Missionデータが再現可能</x:t>
  </x:si>
  <x:si>
    <x:t xml:space="preserve">4.1</x:t>
  </x:si>
  <x:si>
    <x:t xml:space="preserve">Mission List API</x:t>
  </x:si>
  <x:si>
    <x:t xml:space="preserve">GET /missionsを実装する。</x:t>
  </x:si>
  <x:si>
    <x:t xml:space="preserve">GET /missions</x:t>
  </x:si>
  <x:si>
    <x:t xml:space="preserve">Mission一覧をJSONで取得できる</x:t>
  </x:si>
  <x:si>
    <x:t xml:space="preserve">4.2</x:t>
  </x:si>
  <x:si>
    <x:t xml:space="preserve">Mission Detail API</x:t>
  </x:si>
  <x:si>
    <x:t xml:space="preserve">GET /missions/{id}を実装する。</x:t>
  </x:si>
  <x:si>
    <x:t xml:space="preserve">GET /missions/{id}</x:t>
  </x:si>
  <x:si>
    <x:t xml:space="preserve">Mission詳細とChallenge一覧を取得できる</x:t>
  </x:si>
  <x:si>
    <x:t xml:space="preserve">4.3</x:t>
  </x:si>
  <x:si>
    <x:t xml:space="preserve">Challenge Answer API</x:t>
  </x:si>
  <x:si>
    <x:t xml:space="preserve">POST /challenges/{id}/answerを実装する。</x:t>
  </x:si>
  <x:si>
    <x:t xml:space="preserve">3.2,3.4</x:t>
  </x:si>
  <x:si>
    <x:t xml:space="preserve">Challenge answer API</x:t>
  </x:si>
  <x:si>
    <x:t xml:space="preserve">正誤判定結果を返せる</x:t>
  </x:si>
  <x:si>
    <x:t xml:space="preserve">4.4</x:t>
  </x:si>
  <x:si>
    <x:t xml:space="preserve">Progress API</x:t>
  </x:si>
  <x:si>
    <x:t xml:space="preserve">GET /progressを実装する。</x:t>
  </x:si>
  <x:si>
    <x:t xml:space="preserve">GET /progress</x:t>
  </x:si>
  <x:si>
    <x:t xml:space="preserve">Challenge進捗を取得できる</x:t>
  </x:si>
  <x:si>
    <x:t xml:space="preserve">4.5</x:t>
  </x:si>
  <x:si>
    <x:t xml:space="preserve">Mission Complete Logic</x:t>
  </x:si>
  <x:si>
    <x:t xml:space="preserve">全必須Challenge完了時にMission Completeへ遷移する。</x:t>
  </x:si>
  <x:si>
    <x:t xml:space="preserve">4.3,4.4</x:t>
  </x:si>
  <x:si>
    <x:t xml:space="preserve">Mission completion logic</x:t>
  </x:si>
  <x:si>
    <x:t xml:space="preserve">全Challenge完了でMISSION_COMPLETEになる</x:t>
  </x:si>
  <x:si>
    <x:t xml:space="preserve">5.1</x:t>
  </x:si>
  <x:si>
    <x:t xml:space="preserve">Challenge Network作成</x:t>
  </x:si>
  <x:si>
    <x:t xml:space="preserve">Mission 01専用の隔離Docker Networkを作成する。</x:t>
  </x:si>
  <x:si>
    <x:t xml:space="preserve">1.5,1.6</x:t>
  </x:si>
  <x:si>
    <x:t xml:space="preserve">offsec-lab-m01 network</x:t>
  </x:si>
  <x:si>
    <x:t xml:space="preserve">TargetがInternetへ直接公開されない</x:t>
  </x:si>
  <x:si>
    <x:t xml:space="preserve">5.2</x:t>
  </x:si>
  <x:si>
    <x:t xml:space="preserve">Attacker Container作成</x:t>
  </x:si>
  <x:si>
    <x:t xml:space="preserve">Linuxベースでping/nmap/curlを利用できるAttackerを作成する。</x:t>
  </x:si>
  <x:si>
    <x:t xml:space="preserve">Attacker image/container</x:t>
  </x:si>
  <x:si>
    <x:t xml:space="preserve">ping/nmap/curlが使用可能</x:t>
  </x:si>
  <x:si>
    <x:t xml:space="preserve">5.3</x:t>
  </x:si>
  <x:si>
    <x:t xml:space="preserve">Target Container作成</x:t>
  </x:si>
  <x:si>
    <x:t xml:space="preserve">Mission 01用Targetを作成し22/tcp・80/tcpを提供する。</x:t>
  </x:si>
  <x:si>
    <x:t xml:space="preserve">Target image/container</x:t>
  </x:si>
  <x:si>
    <x:t xml:space="preserve">意図したServiceのみ稼働する</x:t>
  </x:si>
  <x:si>
    <x:t xml:space="preserve">5.4</x:t>
  </x:si>
  <x:si>
    <x:t xml:space="preserve">Target HTTP Server</x:t>
  </x:si>
  <x:si>
    <x:t xml:space="preserve">HTTP Status/Header/Titleを確認できるWeb Serverを用意する。</x:t>
  </x:si>
  <x:si>
    <x:t xml:space="preserve">HTTP service</x:t>
  </x:si>
  <x:si>
    <x:t xml:space="preserve">curl等でMission用情報を取得できる</x:t>
  </x:si>
  <x:si>
    <x:t xml:space="preserve">5.5</x:t>
  </x:si>
  <x:si>
    <x:t xml:space="preserve">Target SSH Server</x:t>
  </x:si>
  <x:si>
    <x:t xml:space="preserve">Service Enumeration対象としてSSH Serviceを用意する。</x:t>
  </x:si>
  <x:si>
    <x:t xml:space="preserve">SSH service</x:t>
  </x:si>
  <x:si>
    <x:t xml:space="preserve">nmap -sVでSSH Serviceを識別可能</x:t>
  </x:si>
  <x:si>
    <x:t xml:space="preserve">5.6</x:t>
  </x:si>
  <x:si>
    <x:t xml:space="preserve">Network Reachability Test</x:t>
  </x:si>
  <x:si>
    <x:t xml:space="preserve">Attacker→Targetの到達性を確認する。</x:t>
  </x:si>
  <x:si>
    <x:t xml:space="preserve">Codex / ユーザー</x:t>
  </x:si>
  <x:si>
    <x:t xml:space="preserve">5.2,5.3</x:t>
  </x:si>
  <x:si>
    <x:t xml:space="preserve">Connectivity test result</x:t>
  </x:si>
  <x:si>
    <x:t xml:space="preserve">AttackerからTargetへ接続できる</x:t>
  </x:si>
  <x:si>
    <x:t xml:space="preserve">5.7</x:t>
  </x:si>
  <x:si>
    <x:t xml:space="preserve">Nmap Test</x:t>
  </x:si>
  <x:si>
    <x:t xml:space="preserve">AttackerからPort Scanを実行し22/80を確認する。</x:t>
  </x:si>
  <x:si>
    <x:t xml:space="preserve">Nmap result</x:t>
  </x:si>
  <x:si>
    <x:t xml:space="preserve">想定Open Portを取得できる</x:t>
  </x:si>
  <x:si>
    <x:t xml:space="preserve">5.8</x:t>
  </x:si>
  <x:si>
    <x:t xml:space="preserve">Service Detection Test</x:t>
  </x:si>
  <x:si>
    <x:t xml:space="preserve">nmap -sVでService情報を取得する。</x:t>
  </x:si>
  <x:si>
    <x:t xml:space="preserve">Service detection result</x:t>
  </x:si>
  <x:si>
    <x:t xml:space="preserve">想定Service/Versionを取得できる</x:t>
  </x:si>
  <x:si>
    <x:t xml:space="preserve">6.1</x:t>
  </x:si>
  <x:si>
    <x:t xml:space="preserve">Lab Start実装</x:t>
  </x:si>
  <x:si>
    <x:t xml:space="preserve">Mission IDに応じてNetwork/Attacker/Targetを起動する。</x:t>
  </x:si>
  <x:si>
    <x:t xml:space="preserve">5.1,5.2,5.3</x:t>
  </x:si>
  <x:si>
    <x:t xml:space="preserve">POST /labs/{mission_id}/start</x:t>
  </x:si>
  <x:si>
    <x:t xml:space="preserve">LabがRUNNINGまで遷移する</x:t>
  </x:si>
  <x:si>
    <x:t xml:space="preserve">6.2</x:t>
  </x:si>
  <x:si>
    <x:t xml:space="preserve">Lab Status実装</x:t>
  </x:si>
  <x:si>
    <x:t xml:space="preserve">STOPPED/STARTING/RUNNING/STOPPING/ERRORを取得可能にする。</x:t>
  </x:si>
  <x:si>
    <x:t xml:space="preserve">GET /labs/{mission_id}/status</x:t>
  </x:si>
  <x:si>
    <x:t xml:space="preserve">現在状態を正しく返す</x:t>
  </x:si>
  <x:si>
    <x:t xml:space="preserve">6.3</x:t>
  </x:si>
  <x:si>
    <x:t xml:space="preserve">Lab Stop実装</x:t>
  </x:si>
  <x:si>
    <x:t xml:space="preserve">Mission用Containerを安全に停止する。</x:t>
  </x:si>
  <x:si>
    <x:t xml:space="preserve">POST /labs/{mission_id}/stop</x:t>
  </x:si>
  <x:si>
    <x:t xml:space="preserve">Mission用Containerが停止する</x:t>
  </x:si>
  <x:si>
    <x:t xml:space="preserve">6.4</x:t>
  </x:si>
  <x:si>
    <x:t xml:space="preserve">Lab Reset実装</x:t>
  </x:si>
  <x:si>
    <x:t xml:space="preserve">Stop→Remove→Recreate→Startで初期状態へ戻す。</x:t>
  </x:si>
  <x:si>
    <x:t xml:space="preserve">6.1,6.3</x:t>
  </x:si>
  <x:si>
    <x:t xml:space="preserve">POST /labs/{mission_id}/reset</x:t>
  </x:si>
  <x:si>
    <x:t xml:space="preserve">変更されたLabを既知状態へ戻せる</x:t>
  </x:si>
  <x:si>
    <x:t xml:space="preserve">6.5</x:t>
  </x:si>
  <x:si>
    <x:t xml:space="preserve">Error Handling</x:t>
  </x:si>
  <x:si>
    <x:t xml:space="preserve">Docker unavailable/start failure/network failure/timeoutを処理する。</x:t>
  </x:si>
  <x:si>
    <x:t xml:space="preserve">6.1,6.2,6.3,6.4</x:t>
  </x:si>
  <x:si>
    <x:t xml:space="preserve">Lab error handling</x:t>
  </x:si>
  <x:si>
    <x:t xml:space="preserve">失敗時にERRORと原因を確認できる</x:t>
  </x:si>
  <x:si>
    <x:t xml:space="preserve">7.1</x:t>
  </x:si>
  <x:si>
    <x:t xml:space="preserve">Home Page</x:t>
  </x:si>
  <x:si>
    <x:t xml:space="preserve">OffSec LabのTop Pageを作成する。</x:t>
  </x:si>
  <x:si>
    <x:t xml:space="preserve">Home page</x:t>
  </x:si>
  <x:si>
    <x:t xml:space="preserve">BrowserでTop Pageが表示される</x:t>
  </x:si>
  <x:si>
    <x:t xml:space="preserve">7.2</x:t>
  </x:si>
  <x:si>
    <x:t xml:space="preserve">Mission List Page</x:t>
  </x:si>
  <x:si>
    <x:t xml:space="preserve">Mission CardとStatusを表示する。</x:t>
  </x:si>
  <x:si>
    <x:t xml:space="preserve">4.1,7.1</x:t>
  </x:si>
  <x:si>
    <x:t xml:space="preserve">Mission list UI</x:t>
  </x:si>
  <x:si>
    <x:t xml:space="preserve">Mission 01を選択できる</x:t>
  </x:si>
  <x:si>
    <x:t xml:space="preserve">7.3</x:t>
  </x:si>
  <x:si>
    <x:t xml:space="preserve">Mission Detail Page</x:t>
  </x:si>
  <x:si>
    <x:t xml:space="preserve">Scenario/Objective/Learning Goals/Challenge一覧を表示する。</x:t>
  </x:si>
  <x:si>
    <x:t xml:space="preserve">4.2,7.2</x:t>
  </x:si>
  <x:si>
    <x:t xml:space="preserve">Mission detail UI</x:t>
  </x:si>
  <x:si>
    <x:t xml:space="preserve">Mission詳細を確認できる</x:t>
  </x:si>
  <x:si>
    <x:t xml:space="preserve">7.4</x:t>
  </x:si>
  <x:si>
    <x:t xml:space="preserve">Lab Control UI</x:t>
  </x:si>
  <x:si>
    <x:t xml:space="preserve">Start/Stop/Reset操作を実装する。</x:t>
  </x:si>
  <x:si>
    <x:t xml:space="preserve">6.1,6.3,6.4,7.3</x:t>
  </x:si>
  <x:si>
    <x:t xml:space="preserve">Lab controls</x:t>
  </x:si>
  <x:si>
    <x:t xml:space="preserve">画面からLab操作ができる</x:t>
  </x:si>
  <x:si>
    <x:t xml:space="preserve">7.5</x:t>
  </x:si>
  <x:si>
    <x:t xml:space="preserve">Lab Status表示</x:t>
  </x:si>
  <x:si>
    <x:t xml:space="preserve">Lab Statusを画面へ表示する。</x:t>
  </x:si>
  <x:si>
    <x:t xml:space="preserve">6.2,7.4</x:t>
  </x:si>
  <x:si>
    <x:t xml:space="preserve">Lab status UI</x:t>
  </x:si>
  <x:si>
    <x:t xml:space="preserve">RUNNING等の状態が確認できる</x:t>
  </x:si>
  <x:si>
    <x:t xml:space="preserve">7.6</x:t>
  </x:si>
  <x:si>
    <x:t xml:space="preserve">Target Information</x:t>
  </x:si>
  <x:si>
    <x:t xml:space="preserve">Mission中にTarget IPを表示する。</x:t>
  </x:si>
  <x:si>
    <x:t xml:space="preserve">6.1,7.3</x:t>
  </x:si>
  <x:si>
    <x:t xml:space="preserve">Target information UI</x:t>
  </x:si>
  <x:si>
    <x:t xml:space="preserve">ユーザーがTarget IPを確認できる</x:t>
  </x:si>
  <x:si>
    <x:t xml:space="preserve">7.7</x:t>
  </x:si>
  <x:si>
    <x:t xml:space="preserve">Challenge UI</x:t>
  </x:si>
  <x:si>
    <x:t xml:space="preserve">Challenge本文・Answer入力・Submitを実装する。</x:t>
  </x:si>
  <x:si>
    <x:t xml:space="preserve">4.3,7.3</x:t>
  </x:si>
  <x:si>
    <x:t xml:space="preserve">回答をBackendへ送信できる</x:t>
  </x:si>
  <x:si>
    <x:t xml:space="preserve">7.8</x:t>
  </x:si>
  <x:si>
    <x:t xml:space="preserve">Challenge Result</x:t>
  </x:si>
  <x:si>
    <x:t xml:space="preserve">Correct/Incorrect結果を表示する。</x:t>
  </x:si>
  <x:si>
    <x:t xml:space="preserve">Challenge result UI</x:t>
  </x:si>
  <x:si>
    <x:t xml:space="preserve">正誤結果が明確に表示される</x:t>
  </x:si>
  <x:si>
    <x:t xml:space="preserve">7.9</x:t>
  </x:si>
  <x:si>
    <x:t xml:space="preserve">Hint UI</x:t>
  </x:si>
  <x:si>
    <x:t xml:space="preserve">3段階Hintを段階表示する。</x:t>
  </x:si>
  <x:si>
    <x:t xml:space="preserve">3.3,7.7</x:t>
  </x:si>
  <x:si>
    <x:t xml:space="preserve">Hintを順に閲覧できる</x:t>
  </x:si>
  <x:si>
    <x:t xml:space="preserve">7.10</x:t>
  </x:si>
  <x:si>
    <x:t xml:space="preserve">Mission Complete Page</x:t>
  </x:si>
  <x:si>
    <x:t xml:space="preserve">全Challenge完了後の完了画面を作成する。</x:t>
  </x:si>
  <x:si>
    <x:t xml:space="preserve">4.5,7.8</x:t>
  </x:si>
  <x:si>
    <x:t xml:space="preserve">Mission complete UI</x:t>
  </x:si>
  <x:si>
    <x:t xml:space="preserve">Mission Completeが表示される</x:t>
  </x:si>
  <x:si>
    <x:t xml:space="preserve">8.1</x:t>
  </x:si>
  <x:si>
    <x:t xml:space="preserve">Scenario作成</x:t>
  </x:si>
  <x:si>
    <x:t xml:space="preserve">Web ServerのAttack Surface調査という診断シナリオを作成する。</x:t>
  </x:si>
  <x:si>
    <x:t xml:space="preserve">Mission 01 scenario</x:t>
  </x:si>
  <x:si>
    <x:t xml:space="preserve">実務を意識したScenarioが定義されている</x:t>
  </x:si>
  <x:si>
    <x:t xml:space="preserve">8.2</x:t>
  </x:si>
  <x:si>
    <x:t xml:space="preserve">Challenge 01: Host Discovery</x:t>
  </x:si>
  <x:si>
    <x:t xml:space="preserve">Targetへの到達性確認Challengeを作成する。</x:t>
  </x:si>
  <x:si>
    <x:t xml:space="preserve">ChatGPT / Codex</x:t>
  </x:si>
  <x:si>
    <x:t xml:space="preserve">5.6,8.1</x:t>
  </x:si>
  <x:si>
    <x:t xml:space="preserve">Challenge 01 content</x:t>
  </x:si>
  <x:si>
    <x:t xml:space="preserve">到達性確認の目的と判定条件が定義されている</x:t>
  </x:si>
  <x:si>
    <x:t xml:space="preserve">8.3</x:t>
  </x:si>
  <x:si>
    <x:t xml:space="preserve">Challenge 02: Port Scan</x:t>
  </x:si>
  <x:si>
    <x:t xml:space="preserve">Open Port特定Challengeを作成する。</x:t>
  </x:si>
  <x:si>
    <x:t xml:space="preserve">5.7,8.1</x:t>
  </x:si>
  <x:si>
    <x:t xml:space="preserve">Challenge 02 content</x:t>
  </x:si>
  <x:si>
    <x:t xml:space="preserve">22/80等のOpen Portを回答できる</x:t>
  </x:si>
  <x:si>
    <x:t xml:space="preserve">8.4</x:t>
  </x:si>
  <x:si>
    <x:t xml:space="preserve">Challenge 03: Service Enumeration</x:t>
  </x:si>
  <x:si>
    <x:t xml:space="preserve">Service特定Challengeを作成する。</x:t>
  </x:si>
  <x:si>
    <x:t xml:space="preserve">5.8,8.1</x:t>
  </x:si>
  <x:si>
    <x:t xml:space="preserve">Challenge 03 content</x:t>
  </x:si>
  <x:si>
    <x:t xml:space="preserve">HTTP/SSH等を回答できる</x:t>
  </x:si>
  <x:si>
    <x:t xml:space="preserve">8.5</x:t>
  </x:si>
  <x:si>
    <x:t xml:space="preserve">Challenge 04: Version Detection</x:t>
  </x:si>
  <x:si>
    <x:t xml:space="preserve">Service Version確認Challengeを作成する。</x:t>
  </x:si>
  <x:si>
    <x:t xml:space="preserve">Challenge 04 content</x:t>
  </x:si>
  <x:si>
    <x:t xml:space="preserve">想定Version情報を回答できる</x:t>
  </x:si>
  <x:si>
    <x:t xml:space="preserve">8.6</x:t>
  </x:si>
  <x:si>
    <x:t xml:space="preserve">Challenge 05: HTTP Inspection</x:t>
  </x:si>
  <x:si>
    <x:t xml:space="preserve">HTTP ServerのStatus/Header/Title等を調査するChallengeを作成する。</x:t>
  </x:si>
  <x:si>
    <x:t xml:space="preserve">5.4,8.1</x:t>
  </x:si>
  <x:si>
    <x:t xml:space="preserve">Challenge 05 content</x:t>
  </x:si>
  <x:si>
    <x:t xml:space="preserve">指定Web情報を回答できる</x:t>
  </x:si>
  <x:si>
    <x:t xml:space="preserve">8.7</x:t>
  </x:si>
  <x:si>
    <x:t xml:space="preserve">Hint作成</x:t>
  </x:si>
  <x:si>
    <x:t xml:space="preserve">各Challengeに最大3段階のHintを用意する。</x:t>
  </x:si>
  <x:si>
    <x:t xml:space="preserve">8.2,8.3,8.4,8.5,8.6</x:t>
  </x:si>
  <x:si>
    <x:t xml:space="preserve">Mission 01 hints</x:t>
  </x:si>
  <x:si>
    <x:t xml:space="preserve">考え方→技術→コマンドの段階Hintがある</x:t>
  </x:si>
  <x:si>
    <x:t xml:space="preserve">8.8</x:t>
  </x:si>
  <x:si>
    <x:t xml:space="preserve">Learning Explanation作成</x:t>
  </x:si>
  <x:si>
    <x:t xml:space="preserve">Recon/Enumeration/Nmap/実務利用の解説を作成する。</x:t>
  </x:si>
  <x:si>
    <x:t xml:space="preserve">Learning explanation</x:t>
  </x:si>
  <x:si>
    <x:t xml:space="preserve">Mission終了後に学習内容を振り返れる</x:t>
  </x:si>
  <x:si>
    <x:t xml:space="preserve">9.1</x:t>
  </x:si>
  <x:si>
    <x:t xml:space="preserve">Unit Test</x:t>
  </x:si>
  <x:si>
    <x:t xml:space="preserve">Mission/Challenge/Answer/Progress Logicを単体テストする。</x:t>
  </x:si>
  <x:si>
    <x:t xml:space="preserve">Unit test suite</x:t>
  </x:si>
  <x:si>
    <x:t xml:space="preserve">主要ロジックのテストが成功する</x:t>
  </x:si>
  <x:si>
    <x:t xml:space="preserve">9.2</x:t>
  </x:si>
  <x:si>
    <x:t xml:space="preserve">Backend API Test</x:t>
  </x:si>
  <x:si>
    <x:t xml:space="preserve">missions/challenges/labs/progress APIをテストする。</x:t>
  </x:si>
  <x:si>
    <x:t xml:space="preserve">4.5,6.5</x:t>
  </x:si>
  <x:si>
    <x:t xml:space="preserve">API test suite</x:t>
  </x:si>
  <x:si>
    <x:t xml:space="preserve">主要APIの正常/異常系を確認できる</x:t>
  </x:si>
  <x:si>
    <x:t xml:space="preserve">9.3</x:t>
  </x:si>
  <x:si>
    <x:t xml:space="preserve">Lab Integration Test</x:t>
  </x:si>
  <x:si>
    <x:t xml:space="preserve">Backend→Docker→Attacker→Target連携を確認する。</x:t>
  </x:si>
  <x:si>
    <x:t xml:space="preserve">Lab integration test</x:t>
  </x:si>
  <x:si>
    <x:t xml:space="preserve">Labの起動・接続・停止が一連で成功する</x:t>
  </x:si>
  <x:si>
    <x:t xml:space="preserve">9.4</x:t>
  </x:si>
  <x:si>
    <x:t xml:space="preserve">Frontend Integration Test</x:t>
  </x:si>
  <x:si>
    <x:t xml:space="preserve">Frontend→Backend API連携を確認する。</x:t>
  </x:si>
  <x:si>
    <x:t xml:space="preserve">Frontend integration test</x:t>
  </x:si>
  <x:si>
    <x:t xml:space="preserve">主要画面操作がAPIと連動する</x:t>
  </x:si>
  <x:si>
    <x:t xml:space="preserve">9.5</x:t>
  </x:si>
  <x:si>
    <x:t xml:space="preserve">End-to-End Test</x:t>
  </x:si>
  <x:si>
    <x:t xml:space="preserve">Mission選択からMission Complete/Stopまで全フローを実施する。</x:t>
  </x:si>
  <x:si>
    <x:t xml:space="preserve">ユーザー / Codex</x:t>
  </x:si>
  <x:si>
    <x:t xml:space="preserve">8.8,9.2,9.3,9.4</x:t>
  </x:si>
  <x:si>
    <x:t xml:space="preserve">E2E test report</x:t>
  </x:si>
  <x:si>
    <x:t xml:space="preserve">最初から最後までMission 01をプレイできる</x:t>
  </x:si>
  <x:si>
    <x:t xml:space="preserve">9.6</x:t>
  </x:si>
  <x:si>
    <x:t xml:space="preserve">Reset Test</x:t>
  </x:si>
  <x:si>
    <x:t xml:space="preserve">Lab Resetで初期状態へ戻ることを確認する。</x:t>
  </x:si>
  <x:si>
    <x:t xml:space="preserve">6.4,9.3</x:t>
  </x:si>
  <x:si>
    <x:t xml:space="preserve">Reset test result</x:t>
  </x:si>
  <x:si>
    <x:t xml:space="preserve">変更後のTargetが既知状態へ復元される</x:t>
  </x:si>
  <x:si>
    <x:t xml:space="preserve">10.1</x:t>
  </x:si>
  <x:si>
    <x:t xml:space="preserve">Host Port確認</x:t>
  </x:si>
  <x:si>
    <x:t xml:space="preserve">不要なPortがHostへ公開されていないことを確認する。</x:t>
  </x:si>
  <x:si>
    <x:t xml:space="preserve">Security evidence</x:t>
  </x:si>
  <x:si>
    <x:t xml:space="preserve">Host公開Portが必要最小限</x:t>
  </x:si>
  <x:si>
    <x:t xml:space="preserve">10.2</x:t>
  </x:si>
  <x:si>
    <x:t xml:space="preserve">Docker Network確認</x:t>
  </x:si>
  <x:si>
    <x:t xml:space="preserve">Targetが意図したNetworkのみに所属することを確認する。</x:t>
  </x:si>
  <x:si>
    <x:t xml:space="preserve">Network security evidence</x:t>
  </x:si>
  <x:si>
    <x:t xml:space="preserve">Targetが適切に隔離されている</x:t>
  </x:si>
  <x:si>
    <x:t xml:space="preserve">10.3</x:t>
  </x:si>
  <x:si>
    <x:t xml:space="preserve">Privileged確認</x:t>
  </x:si>
  <x:si>
    <x:t xml:space="preserve">Target/Attackerがprivileged:trueでないことを確認する。</x:t>
  </x:si>
  <x:si>
    <x:t xml:space="preserve">Container privilege evidence</x:t>
  </x:si>
  <x:si>
    <x:t xml:space="preserve">不要なprivileged権限がない</x:t>
  </x:si>
  <x:si>
    <x:t xml:space="preserve">10.4</x:t>
  </x:si>
  <x:si>
    <x:t xml:space="preserve">Docker Socket確認</x:t>
  </x:si>
  <x:si>
    <x:t xml:space="preserve">Target/Attackerへdocker.sockがMountされていないことを確認する。</x:t>
  </x:si>
  <x:si>
    <x:t xml:space="preserve">Mount evidence</x:t>
  </x:si>
  <x:si>
    <x:t xml:space="preserve">Docker socketがLabへ露出していない</x:t>
  </x:si>
  <x:si>
    <x:t xml:space="preserve">10.5</x:t>
  </x:si>
  <x:si>
    <x:t xml:space="preserve">Volume確認</x:t>
  </x:si>
  <x:si>
    <x:t xml:space="preserve">不要なHost Directory Mountがないことを確認する。</x:t>
  </x:si>
  <x:si>
    <x:t xml:space="preserve">Volume evidence</x:t>
  </x:si>
  <x:si>
    <x:t xml:space="preserve">Hostへの不要なFilesystem accessがない</x:t>
  </x:si>
  <x:si>
    <x:t xml:space="preserve">10.6</x:t>
  </x:si>
  <x:si>
    <x:t xml:space="preserve">Internet Exposure確認</x:t>
  </x:si>
  <x:si>
    <x:t xml:space="preserve">外部からTargetへ直接接続できないことを確認する。</x:t>
  </x:si>
  <x:si>
    <x:t xml:space="preserve">Exposure test result</x:t>
  </x:si>
  <x:si>
    <x:t xml:space="preserve">TargetがInternet公開されていない</x:t>
  </x:si>
  <x:si>
    <x:t xml:space="preserve">10.7</x:t>
  </x:si>
  <x:si>
    <x:t xml:space="preserve">Secret Scan</x:t>
  </x:si>
  <x:si>
    <x:t xml:space="preserve">RepositoryにPassword/Token/API Key/Secretがないことを確認する。</x:t>
  </x:si>
  <x:si>
    <x:t xml:space="preserve">Secret scan result</x:t>
  </x:si>
  <x:si>
    <x:t xml:space="preserve">実秘密情報がCommitされていない</x:t>
  </x:si>
  <x:si>
    <x:t xml:space="preserve">11.1</x:t>
  </x:si>
  <x:si>
    <x:t xml:space="preserve">README</x:t>
  </x:si>
  <x:si>
    <x:t xml:space="preserve">概要/Architecture/Requirements/Setup/Start/Stop/Play/Security Warningを整備する。</x:t>
  </x:si>
  <x:si>
    <x:t xml:space="preserve">9.5,10.7</x:t>
  </x:si>
  <x:si>
    <x:t xml:space="preserve">README.md</x:t>
  </x:si>
  <x:si>
    <x:t xml:space="preserve">第三者が構成・起動・遊び方を理解できる</x:t>
  </x:si>
  <x:si>
    <x:t xml:space="preserve">11.2</x:t>
  </x:si>
  <x:si>
    <x:t xml:space="preserve">Architecture Document更新</x:t>
  </x:si>
  <x:si>
    <x:t xml:space="preserve">実装結果に合わせてArchitecture文書を更新する。</x:t>
  </x:si>
  <x:si>
    <x:t xml:space="preserve">Updated architecture doc</x:t>
  </x:si>
  <x:si>
    <x:t xml:space="preserve">実装と文書に乖離がない</x:t>
  </x:si>
  <x:si>
    <x:t xml:space="preserve">11.3</x:t>
  </x:si>
  <x:si>
    <x:t xml:space="preserve">Security Document更新</x:t>
  </x:si>
  <x:si>
    <x:t xml:space="preserve">最終的なDocker隔離・制約を文書化する。</x:t>
  </x:si>
  <x:si>
    <x:t xml:space="preserve">Updated security doc</x:t>
  </x:si>
  <x:si>
    <x:t xml:space="preserve">Security Assessment結果が反映されている</x:t>
  </x:si>
  <x:si>
    <x:t xml:space="preserve">11.4</x:t>
  </x:si>
  <x:si>
    <x:t xml:space="preserve">Test Report</x:t>
  </x:si>
  <x:si>
    <x:t xml:space="preserve">実施テストと結果を記録する。</x:t>
  </x:si>
  <x:si>
    <x:t xml:space="preserve">Test report</x:t>
  </x:si>
  <x:si>
    <x:t xml:space="preserve">主要Testの結果とEvidenceが記録されている</x:t>
  </x:si>
  <x:si>
    <x:t xml:space="preserve">11.5</x:t>
  </x:si>
  <x:si>
    <x:t xml:space="preserve">Development Log</x:t>
  </x:si>
  <x:si>
    <x:t xml:space="preserve">判断・問題・解決・学習を記録する。</x:t>
  </x:si>
  <x:si>
    <x:t xml:space="preserve">Development log</x:t>
  </x:si>
  <x:si>
    <x:t xml:space="preserve">ポートフォリオで開発プロセスを説明できる</x:t>
  </x:si>
  <x:si>
    <x:t xml:space="preserve">12.1</x:t>
  </x:si>
  <x:si>
    <x:t xml:space="preserve">MVP Acceptance Review</x:t>
  </x:si>
  <x:si>
    <x:t xml:space="preserve">v0.1受入基準を全件確認し、MVP完成判定を行う。</x:t>
  </x:si>
  <x:si>
    <x:t xml:space="preserve">11.1,11.2,11.3,11.4</x:t>
  </x:si>
  <x:si>
    <x:t xml:space="preserve">MVP acceptance record</x:t>
  </x:si>
  <x:si>
    <x:t xml:space="preserve">全必須Acceptance Criteriaを満たす</x:t>
  </x:si>
  <x:si>
    <x:t xml:space="preserve">OffSec Lab v0.1 — Codex Issue Backlog</x:t>
  </x:si>
  <x:si>
    <x:t xml:space="preserve">Issue ID</x:t>
  </x:si>
  <x:si>
    <x:t xml:space="preserve">Issue</x:t>
  </x:si>
  <x:si>
    <x:t xml:space="preserve">実装目的 / Scope</x:t>
  </x:si>
  <x:si>
    <x:t xml:space="preserve">ISSUE-001</x:t>
  </x:si>
  <x:si>
    <x:t xml:space="preserve">初期Repository構成・ディレクトリ・主要ファイル作成</x:t>
  </x:si>
  <x:si>
    <x:t xml:space="preserve">Phase 0</x:t>
  </x:si>
  <x:si>
    <x:t xml:space="preserve">ISSUE-002</x:t>
  </x:si>
  <x:si>
    <x:t xml:space="preserve">Docker Development Environment</x:t>
  </x:si>
  <x:si>
    <x:t xml:space="preserve">Frontend/Backend/DBのCompose開発環境</x:t>
  </x:si>
  <x:si>
    <x:t xml:space="preserve">Phase 2</x:t>
  </x:si>
  <x:si>
    <x:t xml:space="preserve">docker compose upで基盤が起動する</x:t>
  </x:si>
  <x:si>
    <x:t xml:space="preserve">ISSUE-003</x:t>
  </x:si>
  <x:si>
    <x:t xml:space="preserve">FastAPI Backend Foundation</x:t>
  </x:si>
  <x:si>
    <x:t xml:space="preserve">FastAPI基盤とhealth endpoint</x:t>
  </x:si>
  <x:si>
    <x:t xml:space="preserve">GET /healthが200を返す</x:t>
  </x:si>
  <x:si>
    <x:t xml:space="preserve">ISSUE-004</x:t>
  </x:si>
  <x:si>
    <x:t xml:space="preserve">PostgreSQL Database Foundation</x:t>
  </x:si>
  <x:si>
    <x:t xml:space="preserve">PostgreSQLとBackend接続</x:t>
  </x:si>
  <x:si>
    <x:t xml:space="preserve">ISSUE-002,ISSUE-003</x:t>
  </x:si>
  <x:si>
    <x:t xml:space="preserve">BackendからDBへ接続できる</x:t>
  </x:si>
  <x:si>
    <x:t xml:space="preserve">ISSUE-005</x:t>
  </x:si>
  <x:si>
    <x:t xml:space="preserve">Mission / Challenge Data Model</x:t>
  </x:si>
  <x:si>
    <x:t xml:space="preserve">Mission/Challenge/Hint/Progress ModelとMigration</x:t>
  </x:si>
  <x:si>
    <x:t xml:space="preserve">Phase 3</x:t>
  </x:si>
  <x:si>
    <x:t xml:space="preserve">ISSUE-003,ISSUE-004</x:t>
  </x:si>
  <x:si>
    <x:t xml:space="preserve">Schemaを再現できる</x:t>
  </x:si>
  <x:si>
    <x:t xml:space="preserve">ISSUE-006</x:t>
  </x:si>
  <x:si>
    <x:t xml:space="preserve">Mission API</x:t>
  </x:si>
  <x:si>
    <x:t xml:space="preserve">Mission List/Detail API</x:t>
  </x:si>
  <x:si>
    <x:t xml:space="preserve">Phase 4</x:t>
  </x:si>
  <x:si>
    <x:t xml:space="preserve">Mission一覧・詳細を取得できる</x:t>
  </x:si>
  <x:si>
    <x:t xml:space="preserve">ISSUE-007</x:t>
  </x:si>
  <x:si>
    <x:t xml:space="preserve">Challenge回答・正誤判定</x:t>
  </x:si>
  <x:si>
    <x:t xml:space="preserve">回答に対して正誤を返す</x:t>
  </x:si>
  <x:si>
    <x:t xml:space="preserve">ISSUE-008</x:t>
  </x:si>
  <x:si>
    <x:t xml:space="preserve">Progress Management</x:t>
  </x:si>
  <x:si>
    <x:t xml:space="preserve">Challenge/Mission進捗管理</x:t>
  </x:si>
  <x:si>
    <x:t xml:space="preserve">ISSUE-005,ISSUE-007</x:t>
  </x:si>
  <x:si>
    <x:t xml:space="preserve">進捗保存・取得ができる</x:t>
  </x:si>
  <x:si>
    <x:t xml:space="preserve">ISSUE-009</x:t>
  </x:si>
  <x:si>
    <x:t xml:space="preserve">Mission 01 Docker Network</x:t>
  </x:si>
  <x:si>
    <x:t xml:space="preserve">Mission用隔離Network</x:t>
  </x:si>
  <x:si>
    <x:t xml:space="preserve">Phase 5</x:t>
  </x:si>
  <x:si>
    <x:t xml:space="preserve">Targetが外部公開されない隔離Networkがある</x:t>
  </x:si>
  <x:si>
    <x:t xml:space="preserve">ISSUE-010</x:t>
  </x:si>
  <x:si>
    <x:t xml:space="preserve">Attacker Container</x:t>
  </x:si>
  <x:si>
    <x:t xml:space="preserve">ping/nmap/curlを備えたAttacker</x:t>
  </x:si>
  <x:si>
    <x:t xml:space="preserve">必要ツールを実行できる</x:t>
  </x:si>
  <x:si>
    <x:t xml:space="preserve">ISSUE-011</x:t>
  </x:si>
  <x:si>
    <x:t xml:space="preserve">Mission 01 Target Container</x:t>
  </x:si>
  <x:si>
    <x:t xml:space="preserve">SSH/HTTPを備えたTarget</x:t>
  </x:si>
  <x:si>
    <x:t xml:space="preserve">22/80が意図通り稼働する</x:t>
  </x:si>
  <x:si>
    <x:t xml:space="preserve">ISSUE-012</x:t>
  </x:si>
  <x:si>
    <x:t xml:space="preserve">Lab Controller — Start</x:t>
  </x:si>
  <x:si>
    <x:t xml:space="preserve">Lab Start処理</x:t>
  </x:si>
  <x:si>
    <x:t xml:space="preserve">Phase 6</x:t>
  </x:si>
  <x:si>
    <x:t xml:space="preserve">ISSUE-009,ISSUE-010,ISSUE-011</x:t>
  </x:si>
  <x:si>
    <x:t xml:space="preserve">Start APIでLabがRUNNINGになる</x:t>
  </x:si>
  <x:si>
    <x:t xml:space="preserve">ISSUE-013</x:t>
  </x:si>
  <x:si>
    <x:t xml:space="preserve">Lab Controller — Stop / Reset</x:t>
  </x:si>
  <x:si>
    <x:t xml:space="preserve">Lab Stop/Reset処理</x:t>
  </x:si>
  <x:si>
    <x:t xml:space="preserve">Stop/Resetが正常に完了する</x:t>
  </x:si>
  <x:si>
    <x:t xml:space="preserve">ISSUE-014</x:t>
  </x:si>
  <x:si>
    <x:t xml:space="preserve">Lab Status API</x:t>
  </x:si>
  <x:si>
    <x:t xml:space="preserve">Lab状態取得API</x:t>
  </x:si>
  <x:si>
    <x:t xml:space="preserve">STOPPED〜ERRORを取得できる</x:t>
  </x:si>
  <x:si>
    <x:t xml:space="preserve">ISSUE-015</x:t>
  </x:si>
  <x:si>
    <x:t xml:space="preserve">Next.js Frontend Foundation</x:t>
  </x:si>
  <x:si>
    <x:t xml:space="preserve">Next.js/TypeScript基盤</x:t>
  </x:si>
  <x:si>
    <x:t xml:space="preserve">Phase 7</x:t>
  </x:si>
  <x:si>
    <x:t xml:space="preserve">Top Pageへアクセスできる</x:t>
  </x:si>
  <x:si>
    <x:t xml:space="preserve">ISSUE-016</x:t>
  </x:si>
  <x:si>
    <x:t xml:space="preserve">Mission List UI</x:t>
  </x:si>
  <x:si>
    <x:t xml:space="preserve">Mission一覧画面</x:t>
  </x:si>
  <x:si>
    <x:t xml:space="preserve">ISSUE-006,ISSUE-015</x:t>
  </x:si>
  <x:si>
    <x:t xml:space="preserve">ISSUE-017</x:t>
  </x:si>
  <x:si>
    <x:t xml:space="preserve">Mission Detail UI</x:t>
  </x:si>
  <x:si>
    <x:t xml:space="preserve">Mission詳細画面</x:t>
  </x:si>
  <x:si>
    <x:t xml:space="preserve">ISSUE-006,ISSUE-016</x:t>
  </x:si>
  <x:si>
    <x:t xml:space="preserve">Scenario/Challengeを確認できる</x:t>
  </x:si>
  <x:si>
    <x:t xml:space="preserve">ISSUE-018</x:t>
  </x:si>
  <x:si>
    <x:t xml:space="preserve">Start/Stop/Reset UI</x:t>
  </x:si>
  <x:si>
    <x:t xml:space="preserve">ISSUE-012,ISSUE-013,ISSUE-014,ISSUE-017</x:t>
  </x:si>
  <x:si>
    <x:t xml:space="preserve">UIからLab操作できる</x:t>
  </x:si>
  <x:si>
    <x:t xml:space="preserve">ISSUE-019</x:t>
  </x:si>
  <x:si>
    <x:t xml:space="preserve">回答入力・送信・結果表示</x:t>
  </x:si>
  <x:si>
    <x:t xml:space="preserve">ISSUE-007,ISSUE-017</x:t>
  </x:si>
  <x:si>
    <x:t xml:space="preserve">Challengeを回答できる</x:t>
  </x:si>
  <x:si>
    <x:t xml:space="preserve">ISSUE-020</x:t>
  </x:si>
  <x:si>
    <x:t xml:space="preserve">段階Hint表示</x:t>
  </x:si>
  <x:si>
    <x:t xml:space="preserve">ISSUE-005,ISSUE-019</x:t>
  </x:si>
  <x:si>
    <x:t xml:space="preserve">Hintを段階表示できる</x:t>
  </x:si>
  <x:si>
    <x:t xml:space="preserve">ISSUE-021</x:t>
  </x:si>
  <x:si>
    <x:t xml:space="preserve">Mission Complete UI</x:t>
  </x:si>
  <x:si>
    <x:t xml:space="preserve">Mission完了表示</x:t>
  </x:si>
  <x:si>
    <x:t xml:space="preserve">ISSUE-008,ISSUE-019</x:t>
  </x:si>
  <x:si>
    <x:t xml:space="preserve">全Challenge完了で完了画面を表示</x:t>
  </x:si>
  <x:si>
    <x:t xml:space="preserve">ISSUE-022</x:t>
  </x:si>
  <x:si>
    <x:t xml:space="preserve">Mission 01 Content</x:t>
  </x:si>
  <x:si>
    <x:t xml:space="preserve">Scenario/5 Challenge/Hint/Learning Explanation</x:t>
  </x:si>
  <x:si>
    <x:t xml:space="preserve">Phase 8</x:t>
  </x:si>
  <x:si>
    <x:t xml:space="preserve">ISSUE-010,ISSUE-011,ISSUE-019</x:t>
  </x:si>
  <x:si>
    <x:t xml:space="preserve">Mission 01を一通り遊べる</x:t>
  </x:si>
  <x:si>
    <x:t xml:space="preserve">ISSUE-023</x:t>
  </x:si>
  <x:si>
    <x:t xml:space="preserve">Backend Tests</x:t>
  </x:si>
  <x:si>
    <x:t xml:space="preserve">Backend Unit/API tests</x:t>
  </x:si>
  <x:si>
    <x:t xml:space="preserve">Phase 9</x:t>
  </x:si>
  <x:si>
    <x:t xml:space="preserve">ISSUE-008,ISSUE-014</x:t>
  </x:si>
  <x:si>
    <x:t xml:space="preserve">主要Backend testsが成功する</x:t>
  </x:si>
  <x:si>
    <x:t xml:space="preserve">ISSUE-024</x:t>
  </x:si>
  <x:si>
    <x:t xml:space="preserve">Lab Integration Tests</x:t>
  </x:si>
  <x:si>
    <x:t xml:space="preserve">Backend→Docker→Attacker→Target tests</x:t>
  </x:si>
  <x:si>
    <x:t xml:space="preserve">ISSUE-013,ISSUE-014</x:t>
  </x:si>
  <x:si>
    <x:t xml:space="preserve">Lab連携Testが成功する</x:t>
  </x:si>
  <x:si>
    <x:t xml:space="preserve">ISSUE-025</x:t>
  </x:si>
  <x:si>
    <x:t xml:space="preserve">Frontend Tests</x:t>
  </x:si>
  <x:si>
    <x:t xml:space="preserve">Frontend integration tests</x:t>
  </x:si>
  <x:si>
    <x:t xml:space="preserve">主要UI/API連携Testが成功する</x:t>
  </x:si>
  <x:si>
    <x:t xml:space="preserve">ISSUE-026</x:t>
  </x:si>
  <x:si>
    <x:t xml:space="preserve">Mission開始〜完了〜停止のE2E</x:t>
  </x:si>
  <x:si>
    <x:t xml:space="preserve">ISSUE-022,ISSUE-023,ISSUE-024,ISSUE-025</x:t>
  </x:si>
  <x:si>
    <x:t xml:space="preserve">全プレイフローが成功する</x:t>
  </x:si>
  <x:si>
    <x:t xml:space="preserve">ISSUE-027</x:t>
  </x:si>
  <x:si>
    <x:t xml:space="preserve">Security Assessment</x:t>
  </x:si>
  <x:si>
    <x:t xml:space="preserve">Network/Port/Privilege/Socket/Secret確認</x:t>
  </x:si>
  <x:si>
    <x:t xml:space="preserve">Phase 10</x:t>
  </x:si>
  <x:si>
    <x:t xml:space="preserve">重大な隔離不備がない</x:t>
  </x:si>
  <x:si>
    <x:t xml:space="preserve">ISSUE-028</x:t>
  </x:si>
  <x:si>
    <x:t xml:space="preserve">README / Documentation</x:t>
  </x:si>
  <x:si>
    <x:t xml:space="preserve">README/Architecture/Security/Test文書を整備</x:t>
  </x:si>
  <x:si>
    <x:t xml:space="preserve">Phase 11</x:t>
  </x:si>
  <x:si>
    <x:t xml:space="preserve">ISSUE-026,ISSUE-027</x:t>
  </x:si>
  <x:si>
    <x:t xml:space="preserve">第三者が構築・理解できる</x:t>
  </x:si>
  <x:si>
    <x:t xml:space="preserve">ISSUE-029</x:t>
  </x:si>
  <x:si>
    <x:t xml:space="preserve">MVP受入基準の最終判定</x:t>
  </x:si>
  <x:si>
    <x:t xml:space="preserve">Phase 12</x:t>
  </x:si>
  <x:si>
    <x:t xml:space="preserve">全MVP必須要件を満たす</x:t>
  </x:si>
  <x:si>
    <x:t xml:space="preserve">OffSec Lab v0.1 — Milestones</x:t>
  </x:si>
  <x:si>
    <x:t xml:space="preserve">ID</x:t>
  </x:si>
  <x:si>
    <x:t xml:space="preserve">Milestone</x:t>
  </x:si>
  <x:si>
    <x:t xml:space="preserve">Definition</x:t>
  </x:si>
  <x:si>
    <x:t xml:space="preserve">Related Phase</x:t>
  </x:si>
  <x:si>
    <x:t xml:space="preserve">Exit Criteria</x:t>
  </x:si>
  <x:si>
    <x:t xml:space="preserve">Notes</x:t>
  </x:si>
  <x:si>
    <x:t xml:space="preserve">M1</x:t>
  </x:si>
  <x:si>
    <x:t xml:space="preserve">企画・要件確定</x:t>
  </x:si>
  <x:si>
    <x:t xml:space="preserve">企画書・MVP要件定義・WBSが確定</x:t>
  </x:si>
  <x:si>
    <x:t xml:space="preserve">Phase 0-1</x:t>
  </x:si>
  <x:si>
    <x:t xml:space="preserve">基本設計着手可能な状態</x:t>
  </x:si>
  <x:si>
    <x:t xml:space="preserve">M2</x:t>
  </x:si>
  <x:si>
    <x:t xml:space="preserve">基本設計完了</x:t>
  </x:si>
  <x:si>
    <x:t xml:space="preserve">Architecture/Backend/DB/Lab/Security基本設計が確定</x:t>
  </x:si>
  <x:si>
    <x:t xml:space="preserve">Phase 1</x:t>
  </x:si>
  <x:si>
    <x:t xml:space="preserve">実装Issueを安全に開始できる</x:t>
  </x:si>
  <x:si>
    <x:t xml:space="preserve">M3</x:t>
  </x:si>
  <x:si>
    <x:t xml:space="preserve">Platform Foundation</x:t>
  </x:si>
  <x:si>
    <x:t xml:space="preserve">Frontend/Backend/DB基盤が起動</x:t>
  </x:si>
  <x:si>
    <x:t xml:space="preserve">Phase 2-4</x:t>
  </x:si>
  <x:si>
    <x:t xml:space="preserve">Mission APIとChallenge判定の基盤が動作</x:t>
  </x:si>
  <x:si>
    <x:t xml:space="preserve">M4</x:t>
  </x:si>
  <x:si>
    <x:t xml:space="preserve">First Lab Running</x:t>
  </x:si>
  <x:si>
    <x:t xml:space="preserve">Attacker/Target/Network/Lab Controllerが動作</x:t>
  </x:si>
  <x:si>
    <x:t xml:space="preserve">Phase 5-6</x:t>
  </x:si>
  <x:si>
    <x:t xml:space="preserve">Start→Nmap→Stop/Resetが可能</x:t>
  </x:si>
  <x:si>
    <x:t xml:space="preserve">M5</x:t>
  </x:si>
  <x:si>
    <x:t xml:space="preserve">First Playable</x:t>
  </x:si>
  <x:si>
    <x:t xml:space="preserve">Web UIからMission 01を最初から最後までプレイ可能</x:t>
  </x:si>
  <x:si>
    <x:t xml:space="preserve">Phase 7-8</x:t>
  </x:si>
  <x:si>
    <x:t xml:space="preserve">Mission Completeまで到達可能</x:t>
  </x:si>
  <x:si>
    <x:t xml:space="preserve">M6</x:t>
  </x:si>
  <x:si>
    <x:t xml:space="preserve">Testing Complete</x:t>
  </x:si>
  <x:si>
    <x:t xml:space="preserve">Unit/API/Integration/E2E/Reset Test完了</x:t>
  </x:si>
  <x:si>
    <x:t xml:space="preserve">主要Testが記録済み</x:t>
  </x:si>
  <x:si>
    <x:t xml:space="preserve">M7</x:t>
  </x:si>
  <x:si>
    <x:t xml:space="preserve">Security Review Complete</x:t>
  </x:si>
  <x:si>
    <x:t xml:space="preserve">隔離・Privilege・Secrets等のAssessment完了</x:t>
  </x:si>
  <x:si>
    <x:t xml:space="preserve">重大なSecurity不備なし</x:t>
  </x:si>
  <x:si>
    <x:t xml:space="preserve">M8</x:t>
  </x:si>
  <x:si>
    <x:t xml:space="preserve">OffSec Lab v0.1 MVP</x:t>
  </x:si>
  <x:si>
    <x:t xml:space="preserve">DocumentationとAcceptance Review完了</x:t>
  </x:si>
  <x:si>
    <x:t xml:space="preserve">Phase 11-12</x:t>
  </x:si>
  <x:si>
    <x:t xml:space="preserve">v0.1 MVP Complete</x:t>
  </x:si>
  <x:si>
    <x:t xml:space="preserve">※ Masterシートは入力候補リスト用です。通常は編集不要です。</x:t>
  </x:si>
  <x:si>
    <x:t xml:space="preserve">Not Started</x:t>
  </x:si>
  <x:si>
    <x:t xml:space="preserve">ChatGPT</x:t>
  </x:si>
  <x:si>
    <x:t xml:space="preserve">Codex / ChatGPT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</x:si>
</x:sst>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b/>
      <x:sz val="12"/>
      <x:color rgb="FF17324D"/>
      <x:name val="Carlito"/>
    </x:font>
    <x:font>
      <x:b/>
      <x:sz val="11"/>
      <x:color rgb="FF1F2933"/>
      <x:name val="Carlito"/>
    </x:font>
    <x:font>
      <x:b/>
      <x:sz val="14"/>
      <x:color rgb="FF17324D"/>
      <x:name val="Carlito"/>
    </x:font>
    <x:font>
      <x:b/>
      <x:sz val="11"/>
      <x:color rgb="FF17324D"/>
      <x:name val="Carlito"/>
    </x:font>
    <x:font>
      <x:sz val="11"/>
      <x:name val="Carlito"/>
    </x:font>
    <x:font>
      <x:sz val="6"/>
      <x:name val="ＭＳ Ｐゴシック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5B8A"/>
      </x:patternFill>
    </x:fill>
    <x:fill>
      <x:patternFill patternType="solid">
        <x:fgColor rgb="FF2B7A78"/>
      </x:patternFill>
    </x:fill>
    <x:fill>
      <x:patternFill patternType="solid">
        <x:fgColor rgb="FFEAF2F8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E8F4F3"/>
      </x:patternFill>
    </x:fill>
  </x:fills>
  <x:borders count="1">
    <x:border/>
  </x:borders>
  <x:cellStyleXfs count="2">
    <x:xf numFmtId="0" fontId="0" fillId="0" borderId="0"/>
    <x:xf numFmtId="0" fontId="8" fillId="0" borderId="0"/>
  </x:cellStyleXfs>
  <x:cellXfs count="22">
    <x:xf numFmtId="0" fontId="0" fillId="0" borderId="0" xfId="0"/>
    <x:xf numFmtId="0" fontId="1" fillId="2" borderId="0" xfId="1" applyFont="1" applyFill="1" applyAlignment="1">
      <x:alignment horizontal="center"/>
    </x:xf>
    <x:xf numFmtId="0" fontId="0" fillId="0" borderId="0" xfId="1" applyFont="1" applyAlignment="1">
      <x:alignment wrapText="1"/>
    </x:xf>
    <x:xf numFmtId="0" fontId="1" fillId="3" borderId="0" xfId="1" applyFont="1" applyFill="1" applyAlignment="1">
      <x:alignment horizontal="center" vertical="top" wrapText="1"/>
    </x:xf>
    <x:xf numFmtId="0" fontId="0" fillId="0" borderId="0" xfId="1" applyFont="1" applyAlignment="1">
      <x:alignment vertical="top" wrapText="1"/>
    </x:xf>
    <x:xf numFmtId="9" fontId="0" fillId="0" borderId="0" xfId="1" applyNumberFormat="1" applyFont="1" applyAlignment="1">
      <x:alignment vertical="top" wrapText="1"/>
    </x:xf>
    <x:xf numFmtId="0" fontId="1" fillId="4" borderId="0" xfId="1" applyFont="1" applyFill="1" applyAlignment="1">
      <x:alignment horizontal="center" vertical="top" wrapText="1"/>
    </x:xf>
    <x:xf numFmtId="0" fontId="0" fillId="0" borderId="0" xfId="1" applyFont="1" applyAlignment="1">
      <x:alignment vertical="top"/>
    </x:xf>
    <x:xf numFmtId="0" fontId="5" fillId="6" borderId="0" xfId="1" applyFont="1" applyFill="1" applyAlignment="1">
      <x:alignment vertical="top"/>
    </x:xf>
    <x:xf numFmtId="0" fontId="6" fillId="7" borderId="0" xfId="1" applyFont="1" applyFill="1" applyAlignment="1">
      <x:alignment horizontal="center" vertical="top"/>
    </x:xf>
    <x:xf numFmtId="9" fontId="6" fillId="7" borderId="0" xfId="1" applyNumberFormat="1" applyFont="1" applyFill="1" applyAlignment="1">
      <x:alignment horizontal="center" vertical="top"/>
    </x:xf>
    <x:xf numFmtId="0" fontId="1" fillId="4" borderId="0" xfId="1" applyFont="1" applyFill="1" applyAlignment="1">
      <x:alignment horizontal="center" vertical="top"/>
    </x:xf>
    <x:xf numFmtId="0" fontId="1" fillId="3" borderId="0" xfId="1" applyFont="1" applyFill="1" applyAlignment="1">
      <x:alignment horizontal="center" vertical="top"/>
    </x:xf>
    <x:xf numFmtId="9" fontId="0" fillId="0" borderId="0" xfId="1" applyNumberFormat="1" applyFont="1" applyAlignment="1">
      <x:alignment vertical="top"/>
    </x:xf>
    <x:xf numFmtId="0" fontId="2" fillId="2" borderId="0" xfId="1" applyFont="1" applyFill="1"/>
    <x:xf numFmtId="0" fontId="0" fillId="0" borderId="0" xfId="0"/>
    <x:xf numFmtId="0" fontId="5" fillId="6" borderId="0" xfId="1" applyFont="1" applyFill="1" applyAlignment="1">
      <x:alignment vertical="top" wrapText="1"/>
    </x:xf>
    <x:xf numFmtId="0" fontId="0" fillId="0" borderId="0" xfId="1" applyFont="1" applyAlignment="1">
      <x:alignment vertical="top" wrapText="1"/>
    </x:xf>
    <x:xf numFmtId="0" fontId="3" fillId="2" borderId="0" xfId="1" applyFont="1" applyFill="1"/>
    <x:xf numFmtId="0" fontId="4" fillId="5" borderId="0" xfId="1" applyFont="1" applyFill="1" applyAlignment="1">
      <x:alignment vertical="top"/>
    </x:xf>
    <x:xf numFmtId="0" fontId="0" fillId="0" borderId="0" xfId="1" applyFont="1" applyAlignment="1">
      <x:alignment vertical="top"/>
    </x:xf>
    <x:xf numFmtId="0" fontId="7" fillId="8" borderId="0" xfId="1" applyFont="1" applyFill="1" applyAlignment="1">
      <x:alignment vertical="top"/>
    </x:xf>
  </x:cellXfs>
  <x:cellStyles count="2">
    <x:cellStyle name="Normal" xfId="1"/>
    <x:cellStyle name="標準" xfId="0"/>
  </x:cellStyles>
  <x:dxfs count="11">
    <x:dxf>
      <x:fill>
        <x:patternFill>
          <x:bgColor rgb="FFFDE2E2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DDF4E7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DDF4E7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DDF4E7"/>
        </x:patternFill>
      </x:fill>
    </x:dxf>
    <x:dxf>
      <x:fill>
        <x:patternFill>
          <x:bgColor rgb="FFFFF4CC"/>
        </x:patternFill>
      </x:fill>
    </x:dxf>
    <x:dxf>
      <x:font>
        <x:b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22dd918fa413d" /><Relationship Type="http://schemas.openxmlformats.org/officeDocument/2006/relationships/theme" Target="/xl/theme/theme1.xml" Id="R5a569b2179524b0b" /><Relationship Type="http://schemas.openxmlformats.org/officeDocument/2006/relationships/sharedStrings" Target="/xl/sharedStrings.xml" Id="R394b8b4fd9354acf" /><Relationship Type="http://schemas.openxmlformats.org/officeDocument/2006/relationships/worksheet" Target="/xl/worksheets/sheet1.xml" Id="Rd253939b28814eb6" /><Relationship Type="http://schemas.openxmlformats.org/officeDocument/2006/relationships/worksheet" Target="/xl/worksheets/sheet2.xml" Id="R3ade1f3b589b41ff" /><Relationship Type="http://schemas.openxmlformats.org/officeDocument/2006/relationships/worksheet" Target="/xl/worksheets/sheet3.xml" Id="R21fc67a7501b44d7" /><Relationship Type="http://schemas.openxmlformats.org/officeDocument/2006/relationships/worksheet" Target="/xl/worksheets/sheet4.xml" Id="R19ff07d3c9d540c0" /><Relationship Type="http://schemas.openxmlformats.org/officeDocument/2006/relationships/worksheet" Target="/xl/worksheets/sheet5.xml" Id="R58785eef43134c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8f8d9faf9f4a04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Phase Completion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Tasks</c:v>
          </c:tx>
          <c:cat>
            <c:strRef>
              <c:f>Summary!$A$12:$A$24</c:f>
              <c:strCache>
                <c:ptCount val="13"/>
                <c:pt idx="0">
                  <c:v>Phase 0: Project Foundation</c:v>
                </c:pt>
                <c:pt idx="1">
                  <c:v>Phase 1: Basic Design</c:v>
                </c:pt>
                <c:pt idx="2">
                  <c:v>Phase 2: Development Environment</c:v>
                </c:pt>
                <c:pt idx="3">
                  <c:v>Phase 3: Backend / Database</c:v>
                </c:pt>
                <c:pt idx="4">
                  <c:v>Phase 4: Backend API</c:v>
                </c:pt>
                <c:pt idx="5">
                  <c:v>Phase 5: Lab Infrastructure</c:v>
                </c:pt>
                <c:pt idx="6">
                  <c:v>Phase 6: Lab Controller</c:v>
                </c:pt>
                <c:pt idx="7">
                  <c:v>Phase 7: Frontend</c:v>
                </c:pt>
                <c:pt idx="8">
                  <c:v>Phase 8: Mission 01 Content</c:v>
                </c:pt>
                <c:pt idx="9">
                  <c:v>Phase 9: Testing</c:v>
                </c:pt>
                <c:pt idx="10">
                  <c:v>Phase 10: Security Assessment</c:v>
                </c:pt>
                <c:pt idx="11">
                  <c:v>Phase 11: Documentation</c:v>
                </c:pt>
                <c:pt idx="12">
                  <c:v>Phase 12: MVP Acceptance</c:v>
                </c:pt>
              </c:strCache>
            </c:strRef>
          </c:cat>
          <c:val>
            <c:numRef>
              <c:f>Summary!$B$12:$B$24</c:f>
              <c:numCache>
                <c:formatCode>General</c:formatCode>
                <c:ptCount val="13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5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7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Summary!$A$12:$A$24</c:f>
              <c:strCache>
                <c:ptCount val="13"/>
                <c:pt idx="0">
                  <c:v>Phase 0: Project Foundation</c:v>
                </c:pt>
                <c:pt idx="1">
                  <c:v>Phase 1: Basic Design</c:v>
                </c:pt>
                <c:pt idx="2">
                  <c:v>Phase 2: Development Environment</c:v>
                </c:pt>
                <c:pt idx="3">
                  <c:v>Phase 3: Backend / Database</c:v>
                </c:pt>
                <c:pt idx="4">
                  <c:v>Phase 4: Backend API</c:v>
                </c:pt>
                <c:pt idx="5">
                  <c:v>Phase 5: Lab Infrastructure</c:v>
                </c:pt>
                <c:pt idx="6">
                  <c:v>Phase 6: Lab Controller</c:v>
                </c:pt>
                <c:pt idx="7">
                  <c:v>Phase 7: Frontend</c:v>
                </c:pt>
                <c:pt idx="8">
                  <c:v>Phase 8: Mission 01 Content</c:v>
                </c:pt>
                <c:pt idx="9">
                  <c:v>Phase 9: Testing</c:v>
                </c:pt>
                <c:pt idx="10">
                  <c:v>Phase 10: Security Assessment</c:v>
                </c:pt>
                <c:pt idx="11">
                  <c:v>Phase 11: Documentation</c:v>
                </c:pt>
                <c:pt idx="12">
                  <c:v>Phase 12: MVP Acceptance</c:v>
                </c:pt>
              </c:strCache>
            </c:strRef>
          </c:cat>
          <c:val>
            <c:numRef>
              <c:f>Summary!$C$12:$C$24</c:f>
              <c:numCache>
                <c:formatCode>General</c:formatCode>
                <c:ptCount val="13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5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v>Completion</c:v>
          </c:tx>
          <c:cat>
            <c:strRef>
              <c:f>Summary!$A$12:$A$24</c:f>
              <c:strCache>
                <c:ptCount val="13"/>
                <c:pt idx="0">
                  <c:v>Phase 0: Project Foundation</c:v>
                </c:pt>
                <c:pt idx="1">
                  <c:v>Phase 1: Basic Design</c:v>
                </c:pt>
                <c:pt idx="2">
                  <c:v>Phase 2: Development Environment</c:v>
                </c:pt>
                <c:pt idx="3">
                  <c:v>Phase 3: Backend / Database</c:v>
                </c:pt>
                <c:pt idx="4">
                  <c:v>Phase 4: Backend API</c:v>
                </c:pt>
                <c:pt idx="5">
                  <c:v>Phase 5: Lab Infrastructure</c:v>
                </c:pt>
                <c:pt idx="6">
                  <c:v>Phase 6: Lab Controller</c:v>
                </c:pt>
                <c:pt idx="7">
                  <c:v>Phase 7: Frontend</c:v>
                </c:pt>
                <c:pt idx="8">
                  <c:v>Phase 8: Mission 01 Content</c:v>
                </c:pt>
                <c:pt idx="9">
                  <c:v>Phase 9: Testing</c:v>
                </c:pt>
                <c:pt idx="10">
                  <c:v>Phase 10: Security Assessment</c:v>
                </c:pt>
                <c:pt idx="11">
                  <c:v>Phase 11: Documentation</c:v>
                </c:pt>
                <c:pt idx="12">
                  <c:v>Phase 12: MVP Acceptance</c:v>
                </c:pt>
              </c:strCache>
            </c:strRef>
          </c:cat>
          <c:val>
            <c:numRef>
              <c:f>Summary!$D$12:$D$24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0.2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24</xdr:row>
      <xdr:rowOff>0</xdr:rowOff>
    </xdr:from>
    <xdr:to>
      <xdr:col>13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8f8d9faf9f4a0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bsTable" displayName="WbsTable" ref="A3:M79" totalsRowShown="0">
  <x:tableColumns count="13">
    <x:tableColumn id="1" name="WBS ID"/>
    <x:tableColumn id="2" name="Phase"/>
    <x:tableColumn id="3" name="Task"/>
    <x:tableColumn id="4" name="概要"/>
    <x:tableColumn id="5" name="Owner"/>
    <x:tableColumn id="6" name="Priority"/>
    <x:tableColumn id="7" name="Depends On"/>
    <x:tableColumn id="8" name="Deliverable"/>
    <x:tableColumn id="9" name="Acceptance Criteria"/>
    <x:tableColumn id="10" name="予定開始"/>
    <x:tableColumn id="11" name="予定完了"/>
    <x:tableColumn id="12" name="Status"/>
    <x:tableColumn id="13" name="Progr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suesTable" displayName="IssuesTable" ref="A3:J32" totalsRowShown="0">
  <x:tableColumns count="10">
    <x:tableColumn id="1" name="Issue ID"/>
    <x:tableColumn id="2" name="Issue"/>
    <x:tableColumn id="3" name="実装目的 / Scope"/>
    <x:tableColumn id="4" name="Phase"/>
    <x:tableColumn id="5" name="Priority"/>
    <x:tableColumn id="6" name="Depends On"/>
    <x:tableColumn id="7" name="Owner"/>
    <x:tableColumn id="8" name="Acceptance Criteria"/>
    <x:tableColumn id="9" name="Status"/>
    <x:tableColumn id="10" name="Progr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lestonesTable" displayName="MilestonesTable" ref="A3:G11" totalsRowShown="0">
  <x:tableColumns count="7">
    <x:tableColumn id="1" name="ID"/>
    <x:tableColumn id="2" name="Milestone"/>
    <x:tableColumn id="3" name="Definition"/>
    <x:tableColumn id="4" name="Related Phase"/>
    <x:tableColumn id="5" name="Exit Criteria"/>
    <x:tableColumn id="6" name="Status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1a281d1a044f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c1c1bfdba741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f23f08d2ec40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07f6ac8ead4941" /></Relationships>
</file>

<file path=xl/worksheets/sheet1.xml><?xml version="1.0" encoding="utf-8"?>
<x:worksheet xmlns:x="http://schemas.openxmlformats.org/spreadsheetml/2006/main">
  <x:sheetFormatPr defaultRowHeight="14.25"/>
  <x:cols>
    <x:col min="1" max="1" width="30" customWidth="1"/>
    <x:col min="2" max="5" width="15" customWidth="1"/>
    <x:col min="6" max="8" width="18" customWidth="1"/>
  </x:cols>
  <x:sheetData>
    <x:row r="1" ht="33.95000076293945" customHeight="1">
      <x:c r="A1" s="18" t="s">
        <x:v>0</x:v>
      </x:c>
      <x:c r="B1" s="15"/>
      <x:c r="C1" s="15"/>
      <x:c r="D1" s="15"/>
      <x:c r="E1" s="15"/>
      <x:c r="F1" s="15"/>
      <x:c r="G1" s="15"/>
      <x:c r="H1" s="15"/>
    </x:row>
    <x:row r="3" ht="15.75">
      <x:c r="A3" s="19" t="s">
        <x:v>1</x:v>
      </x:c>
      <x:c r="B3" s="20"/>
      <x:c r="C3" s="20"/>
      <x:c r="D3" s="20"/>
      <x:c r="E3" s="20"/>
      <x:c r="F3" s="20"/>
      <x:c r="G3" s="20"/>
      <x:c r="H3" s="20"/>
    </x:row>
    <x:row r="4" ht="18">
      <x:c r="A4" s="8" t="s">
        <x:v>2</x:v>
      </x:c>
      <x:c r="B4" s="9">
        <x:f>COUNTA(WBS!A4:A79)</x:f>
        <x:v>76</x:v>
      </x:c>
      <x:c r="C4" s="7"/>
      <x:c r="D4" s="8" t="s">
        <x:v>3</x:v>
      </x:c>
      <x:c r="E4" s="9">
        <x:f>COUNTA('Codex Issues'!A4:A32)</x:f>
        <x:v>29</x:v>
      </x:c>
      <x:c r="F4" s="7"/>
      <x:c r="G4" s="7"/>
      <x:c r="H4" s="7"/>
    </x:row>
    <x:row r="5" ht="18">
      <x:c r="A5" s="8" t="s">
        <x:v>4</x:v>
      </x:c>
      <x:c r="B5" s="9">
        <x:f>COUNTIF(WBS!L4:L79,"Done")</x:f>
        <x:v>63</x:v>
      </x:c>
      <x:c r="C5" s="7"/>
      <x:c r="D5" s="8" t="s">
        <x:v>5</x:v>
      </x:c>
      <x:c r="E5" s="9">
        <x:f>COUNTIF('Codex Issues'!I4:I32,"Done")</x:f>
        <x:v>25</x:v>
      </x:c>
      <x:c r="F5" s="7"/>
      <x:c r="G5" s="7"/>
      <x:c r="H5" s="7"/>
    </x:row>
    <x:row r="6" ht="18">
      <x:c r="A6" s="8" t="s">
        <x:v>6</x:v>
      </x:c>
      <x:c r="B6" s="9">
        <x:f>COUNTIF(WBS!L4:L79,"In Progress")</x:f>
        <x:v>3</x:v>
      </x:c>
      <x:c r="C6" s="7"/>
      <x:c r="D6" s="8" t="s">
        <x:v>7</x:v>
      </x:c>
      <x:c r="E6" s="9">
        <x:f>COUNTIF('Codex Issues'!E4:E32,"P0")</x:f>
        <x:v>26</x:v>
      </x:c>
      <x:c r="F6" s="7"/>
      <x:c r="G6" s="7"/>
      <x:c r="H6" s="7"/>
    </x:row>
    <x:row r="7" ht="18">
      <x:c r="A7" s="8" t="s">
        <x:v>8</x:v>
      </x:c>
      <x:c r="B7" s="9">
        <x:f>COUNTIF(WBS!L4:L79,"Blocked")</x:f>
        <x:v>0</x:v>
      </x:c>
      <x:c r="C7" s="7"/>
      <x:c r="D7" s="8" t="s">
        <x:v>9</x:v>
      </x:c>
      <x:c r="E7" s="9">
        <x:f>COUNTA(Milestones!A4:A11)</x:f>
        <x:v>8</x:v>
      </x:c>
      <x:c r="F7" s="7"/>
      <x:c r="G7" s="7"/>
      <x:c r="H7" s="7"/>
    </x:row>
    <x:row r="8" ht="18">
      <x:c r="A8" s="8" t="s">
        <x:v>10</x:v>
      </x:c>
      <x:c r="B8" s="10">
        <x:f>AVERAGE(WBS!M4:M79)</x:f>
        <x:v>0.8486842105263158</x:v>
      </x:c>
      <x:c r="C8" s="7"/>
      <x:c r="D8" s="8" t="s">
        <x:v>11</x:v>
      </x:c>
      <x:c r="E8" s="9">
        <x:f>COUNTIF(Milestones!F4:F11,"Done")</x:f>
        <x:v>6</x:v>
      </x:c>
      <x:c r="F8" s="7"/>
      <x:c r="G8" s="7"/>
      <x:c r="H8" s="7"/>
    </x:row>
    <x:row r="9">
      <x:c r="A9" s="7"/>
      <x:c r="B9" s="7"/>
      <x:c r="C9" s="7"/>
      <x:c r="D9" s="7"/>
      <x:c r="E9" s="7"/>
      <x:c r="F9" s="7"/>
      <x:c r="G9" s="7"/>
      <x:c r="H9" s="7"/>
    </x:row>
    <x:row r="10">
      <x:c r="A10" s="7"/>
      <x:c r="B10" s="7"/>
      <x:c r="C10" s="7"/>
      <x:c r="D10" s="7"/>
      <x:c r="E10" s="7"/>
      <x:c r="F10" s="7"/>
      <x:c r="G10" s="7"/>
      <x:c r="H10" s="7"/>
    </x:row>
    <x:row r="11" ht="15">
      <x:c r="A11" s="11" t="s">
        <x:v>12</x:v>
      </x:c>
      <x:c r="B11" s="11" t="s">
        <x:v>13</x:v>
      </x:c>
      <x:c r="C11" s="11" t="s">
        <x:v>4</x:v>
      </x:c>
      <x:c r="D11" s="11" t="s">
        <x:v>14</x:v>
      </x:c>
      <x:c r="E11" s="7"/>
      <x:c r="F11" s="12" t="s">
        <x:v>15</x:v>
      </x:c>
      <x:c r="G11" s="12" t="s">
        <x:v>16</x:v>
      </x:c>
      <x:c r="H11" s="12" t="s">
        <x:v>17</x:v>
      </x:c>
    </x:row>
    <x:row r="12">
      <x:c r="A12" s="7" t="s">
        <x:v>18</x:v>
      </x:c>
      <x:c r="B12" s="7">
        <x:f>COUNTIF(WBS!B4:B79,A12)</x:f>
        <x:v>4</x:v>
      </x:c>
      <x:c r="C12" s="7">
        <x:f>COUNTIFS(WBS!B4:B79,A12,WBS!L4:L79,"Done")</x:f>
        <x:v>4</x:v>
      </x:c>
      <x:c r="D12" s="13">
        <x:f t="shared" ref="D12:D24" si="0">IF(B12=0,0,C12/B12)</x:f>
        <x:v>1</x:v>
      </x:c>
      <x:c r="E12" s="7"/>
      <x:c r="F12" s="7" t="s">
        <x:v>19</x:v>
      </x:c>
      <x:c r="G12" s="7">
        <x:f>COUNTIF(WBS!F4:F79,F12)</x:f>
        <x:v>58</x:v>
      </x:c>
      <x:c r="H12" s="7">
        <x:f>COUNTIF('Codex Issues'!E4:E32,F12)</x:f>
        <x:v>26</x:v>
      </x:c>
    </x:row>
    <x:row r="13">
      <x:c r="A13" s="7" t="s">
        <x:v>20</x:v>
      </x:c>
      <x:c r="B13" s="7">
        <x:f>COUNTIF(WBS!B4:B79,A13)</x:f>
        <x:v>6</x:v>
      </x:c>
      <x:c r="C13" s="7">
        <x:f>COUNTIFS(WBS!B4:B79,A13,WBS!L4:L79,"Done")</x:f>
        <x:v>6</x:v>
      </x:c>
      <x:c r="D13" s="13">
        <x:f t="shared" si="0">IF(B13=0,0,C13/B13)</x:f>
        <x:v>1</x:v>
      </x:c>
      <x:c r="E13" s="7"/>
      <x:c r="F13" s="7" t="s">
        <x:v>21</x:v>
      </x:c>
      <x:c r="G13" s="7">
        <x:f>COUNTIF(WBS!F4:F79,F13)</x:f>
        <x:v>18</x:v>
      </x:c>
      <x:c r="H13" s="7">
        <x:f>COUNTIF('Codex Issues'!E4:E32,F13)</x:f>
        <x:v>3</x:v>
      </x:c>
    </x:row>
    <x:row r="14">
      <x:c r="A14" s="7" t="s">
        <x:v>22</x:v>
      </x:c>
      <x:c r="B14" s="7">
        <x:f>COUNTIF(WBS!B4:B79,A14)</x:f>
        <x:v>5</x:v>
      </x:c>
      <x:c r="C14" s="7">
        <x:f>COUNTIFS(WBS!B4:B79,A14,WBS!L4:L79,"Done")</x:f>
        <x:v>4</x:v>
      </x:c>
      <x:c r="D14" s="13">
        <x:f t="shared" si="0">IF(B14=0,0,C14/B14)</x:f>
        <x:v>0.8</x:v>
      </x:c>
      <x:c r="E14" s="7"/>
      <x:c r="F14" s="7" t="s">
        <x:v>23</x:v>
      </x:c>
      <x:c r="G14" s="7">
        <x:f>COUNTIF(WBS!F4:F79,F14)</x:f>
        <x:v>0</x:v>
      </x:c>
      <x:c r="H14" s="7">
        <x:f>COUNTIF('Codex Issues'!E4:E32,F14)</x:f>
        <x:v>0</x:v>
      </x:c>
    </x:row>
    <x:row r="15">
      <x:c r="A15" s="7" t="s">
        <x:v>24</x:v>
      </x:c>
      <x:c r="B15" s="7">
        <x:f>COUNTIF(WBS!B4:B79,A15)</x:f>
        <x:v>6</x:v>
      </x:c>
      <x:c r="C15" s="7">
        <x:f>COUNTIFS(WBS!B4:B79,A15,WBS!L4:L79,"Done")</x:f>
        <x:v>6</x:v>
      </x:c>
      <x:c r="D15" s="13">
        <x:f t="shared" si="0">IF(B15=0,0,C15/B15)</x:f>
        <x:v>1</x:v>
      </x:c>
      <x:c r="E15" s="7"/>
      <x:c r="F15" s="7" t="inlineStr">
        <x:is>
          <x:t>Current Phase</x:t>
        </x:is>
      </x:c>
      <x:c r="G15" s="7" t="str">
        <x:f>IF(Milestones!F9="Done",'Codex Issues'!D30,'Codex Issues'!D26)</x:f>
        <x:v>Phase 10</x:v>
      </x:c>
      <x:c r="H15" s="7"/>
    </x:row>
    <x:row r="16">
      <x:c r="A16" s="7" t="s">
        <x:v>25</x:v>
      </x:c>
      <x:c r="B16" s="7">
        <x:f>COUNTIF(WBS!B4:B79,A16)</x:f>
        <x:v>5</x:v>
      </x:c>
      <x:c r="C16" s="7">
        <x:f>COUNTIFS(WBS!B4:B79,A16,WBS!L4:L79,"Done")</x:f>
        <x:v>5</x:v>
      </x:c>
      <x:c r="D16" s="13">
        <x:f t="shared" si="0">IF(B16=0,0,C16/B16)</x:f>
        <x:v>1</x:v>
      </x:c>
      <x:c r="E16" s="7"/>
      <x:c r="F16" s="7" t="inlineStr">
        <x:is>
          <x:t>Next Task</x:t>
        </x:is>
      </x:c>
      <x:c r="G16" s="7" t="str">
        <x:f>IF(Milestones!F9="Done",'Codex Issues'!A30,'Codex Issues'!A26)</x:f>
        <x:v>ISSUE-027</x:v>
      </x:c>
      <x:c r="H16" s="7"/>
    </x:row>
    <x:row r="17" ht="15">
      <x:c r="A17" s="7" t="s">
        <x:v>26</x:v>
      </x:c>
      <x:c r="B17" s="7">
        <x:f>COUNTIF(WBS!B4:B79,A17)</x:f>
        <x:v>8</x:v>
      </x:c>
      <x:c r="C17" s="7">
        <x:f>COUNTIFS(WBS!B4:B79,A17,WBS!L4:L79,"Done")</x:f>
        <x:v>8</x:v>
      </x:c>
      <x:c r="D17" s="13">
        <x:f t="shared" si="0">IF(B17=0,0,C17/B17)</x:f>
        <x:v>1</x:v>
      </x:c>
      <x:c r="E17" s="7"/>
      <x:c r="F17" s="21" t="s">
        <x:v>27</x:v>
      </x:c>
      <x:c r="G17" s="20"/>
      <x:c r="H17" s="20"/>
    </x:row>
    <x:row r="18">
      <x:c r="A18" s="7" t="s">
        <x:v>28</x:v>
      </x:c>
      <x:c r="B18" s="7">
        <x:f>COUNTIF(WBS!B4:B79,A18)</x:f>
        <x:v>5</x:v>
      </x:c>
      <x:c r="C18" s="7">
        <x:f>COUNTIFS(WBS!B4:B79,A18,WBS!L4:L79,"Done")</x:f>
        <x:v>5</x:v>
      </x:c>
      <x:c r="D18" s="13">
        <x:f t="shared" si="0">IF(B18=0,0,C18/B18)</x:f>
        <x:v>1</x:v>
      </x:c>
      <x:c r="E18" s="7"/>
      <x:c r="F18" s="16" t="s">
        <x:v>29</x:v>
      </x:c>
      <x:c r="G18" s="17"/>
      <x:c r="H18" s="17"/>
    </x:row>
    <x:row r="19">
      <x:c r="A19" s="7" t="s">
        <x:v>30</x:v>
      </x:c>
      <x:c r="B19" s="7">
        <x:f>COUNTIF(WBS!B4:B79,A19)</x:f>
        <x:v>10</x:v>
      </x:c>
      <x:c r="C19" s="7">
        <x:f>COUNTIFS(WBS!B4:B79,A19,WBS!L4:L79,"Done")</x:f>
        <x:v>10</x:v>
      </x:c>
      <x:c r="D19" s="13">
        <x:f t="shared" si="0">IF(B19=0,0,C19/B19)</x:f>
        <x:v>1</x:v>
      </x:c>
      <x:c r="E19" s="7"/>
      <x:c r="F19" s="17" t="s">
        <x:v>31</x:v>
      </x:c>
      <x:c r="G19" s="17"/>
      <x:c r="H19" s="17"/>
    </x:row>
    <x:row r="20">
      <x:c r="A20" s="7" t="s">
        <x:v>32</x:v>
      </x:c>
      <x:c r="B20" s="7">
        <x:f>COUNTIF(WBS!B4:B79,A20)</x:f>
        <x:v>8</x:v>
      </x:c>
      <x:c r="C20" s="7">
        <x:f>COUNTIFS(WBS!B4:B79,A20,WBS!L4:L79,"Done")</x:f>
        <x:v>8</x:v>
      </x:c>
      <x:c r="D20" s="13">
        <x:f t="shared" si="0">IF(B20=0,0,C20/B20)</x:f>
        <x:v>1</x:v>
      </x:c>
      <x:c r="E20" s="7"/>
      <x:c r="F20" s="16" t="s">
        <x:v>33</x:v>
      </x:c>
      <x:c r="G20" s="17"/>
      <x:c r="H20" s="17"/>
    </x:row>
    <x:row r="21">
      <x:c r="A21" s="7" t="s">
        <x:v>34</x:v>
      </x:c>
      <x:c r="B21" s="7">
        <x:f>COUNTIF(WBS!B4:B79,A21)</x:f>
        <x:v>6</x:v>
      </x:c>
      <x:c r="C21" s="7">
        <x:f>COUNTIFS(WBS!B4:B79,A21,WBS!L4:L79,"Done")</x:f>
        <x:v>6</x:v>
      </x:c>
      <x:c r="D21" s="13">
        <x:f t="shared" si="0">IF(B21=0,0,C21/B21)</x:f>
        <x:v>1</x:v>
      </x:c>
      <x:c r="E21" s="7"/>
      <x:c r="F21" s="17" t="s">
        <x:v>35</x:v>
      </x:c>
      <x:c r="G21" s="17"/>
      <x:c r="H21" s="17"/>
    </x:row>
    <x:row r="22">
      <x:c r="A22" s="7" t="s">
        <x:v>36</x:v>
      </x:c>
      <x:c r="B22" s="7">
        <x:f>COUNTIF(WBS!B4:B79,A22)</x:f>
        <x:v>7</x:v>
      </x:c>
      <x:c r="C22" s="7">
        <x:f>COUNTIFS(WBS!B4:B79,A22,WBS!L4:L79,"Done")</x:f>
        <x:v>0</x:v>
      </x:c>
      <x:c r="D22" s="13">
        <x:f t="shared" si="0">IF(B22=0,0,C22/B22)</x:f>
        <x:v>0</x:v>
      </x:c>
      <x:c r="E22" s="7"/>
      <x:c r="F22" s="16" t="s">
        <x:v>37</x:v>
      </x:c>
      <x:c r="G22" s="17"/>
      <x:c r="H22" s="17"/>
    </x:row>
    <x:row r="23">
      <x:c r="A23" s="7" t="s">
        <x:v>38</x:v>
      </x:c>
      <x:c r="B23" s="7">
        <x:f>COUNTIF(WBS!B4:B79,A23)</x:f>
        <x:v>5</x:v>
      </x:c>
      <x:c r="C23" s="7">
        <x:f>COUNTIFS(WBS!B4:B79,A23,WBS!L4:L79,"Done")</x:f>
        <x:v>1</x:v>
      </x:c>
      <x:c r="D23" s="13">
        <x:f t="shared" si="0">IF(B23=0,0,C23/B23)</x:f>
        <x:v>0.2</x:v>
      </x:c>
      <x:c r="E23" s="7"/>
      <x:c r="F23" s="17" t="s">
        <x:v>39</x:v>
      </x:c>
      <x:c r="G23" s="17"/>
      <x:c r="H23" s="17"/>
    </x:row>
    <x:row r="24">
      <x:c r="A24" s="7" t="s">
        <x:v>40</x:v>
      </x:c>
      <x:c r="B24" s="7">
        <x:f>COUNTIF(WBS!B4:B79,A24)</x:f>
        <x:v>1</x:v>
      </x:c>
      <x:c r="C24" s="7">
        <x:f>COUNTIFS(WBS!B4:B79,A24,WBS!L4:L79,"Done")</x:f>
        <x:v>0</x:v>
      </x:c>
      <x:c r="D24" s="13">
        <x:f t="shared" si="0">IF(B24=0,0,C24/B24)</x:f>
        <x:v>0</x:v>
      </x:c>
      <x:c r="E24" s="7"/>
      <x:c r="F24" s="7"/>
      <x:c r="G24" s="7"/>
      <x:c r="H24" s="7"/>
    </x:row>
  </x:sheetData>
  <x:mergeCells>
    <x:mergeCell ref="F20:H20"/>
    <x:mergeCell ref="F21:H21"/>
    <x:mergeCell ref="F22:H22"/>
    <x:mergeCell ref="F23:H23"/>
    <x:mergeCell ref="A1:H1"/>
    <x:mergeCell ref="A3:H3"/>
    <x:mergeCell ref="F17:H17"/>
    <x:mergeCell ref="F18:H18"/>
    <x:mergeCell ref="F19:H19"/>
  </x:mergeCells>
  <x:conditionalFormatting sqref="D12:D24">
    <x:cfRule type="dataBar" priority="1">
      <x:dataBar>
        <x:cfvo type="min"/>
        <x:cfvo type="max"/>
        <x:color rgb="FF2B7A78"/>
      </x:dataBar>
    </x:cfRule>
    <x:cfRule type="dataBar" priority="2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f1a281d1a044fa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8213237C-262D-8CED-9257-E0A72B4BD1FC}">
            <x14:dataBar>
              <x14:cfvo type="min"/>
              <x14:cfvo type="max"/>
              <x14:fillColor rgb="FF2B7A78"/>
              <x14:negativeFillColor auto="1"/>
              <x14:axisColor auto="1"/>
            </x14:dataBar>
          </x14:cfRule>
          <xm:sqref>D12:D24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4.25"/>
  <x:cols>
    <x:col min="1" max="1" width="10" customWidth="1"/>
    <x:col min="2" max="3" width="28" customWidth="1"/>
    <x:col min="4" max="4" width="42" customWidth="1"/>
    <x:col min="5" max="5" width="22" customWidth="1"/>
    <x:col min="6" max="6" width="10" customWidth="1"/>
    <x:col min="7" max="7" width="20" customWidth="1"/>
    <x:col min="8" max="8" width="28" customWidth="1"/>
    <x:col min="9" max="9" width="42" customWidth="1"/>
    <x:col min="10" max="11" width="13" customWidth="1"/>
    <x:col min="12" max="12" width="15" customWidth="1"/>
    <x:col min="13" max="13" width="12" customWidth="1"/>
  </x:cols>
  <x:sheetData>
    <x:row r="1" ht="30" customHeight="1">
      <x:c r="A1" s="14" t="s">
        <x:v>41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3" ht="27.950000762939453" customHeight="1">
      <x:c r="A3" s="3" t="s">
        <x:v>42</x:v>
      </x:c>
      <x:c r="B3" s="3" t="s">
        <x:v>12</x:v>
      </x:c>
      <x:c r="C3" s="3" t="s">
        <x:v>43</x:v>
      </x:c>
      <x:c r="D3" s="3" t="s">
        <x:v>44</x:v>
      </x:c>
      <x:c r="E3" s="3" t="s">
        <x:v>45</x:v>
      </x:c>
      <x:c r="F3" s="3" t="s">
        <x:v>15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51</x:v>
      </x:c>
      <x:c r="M3" s="3" t="s">
        <x:v>52</x:v>
      </x:c>
    </x:row>
    <x:row r="4" ht="28.5">
      <x:c r="A4" s="4" t="s">
        <x:v>53</x:v>
      </x:c>
      <x:c r="B4" s="4" t="s">
        <x:v>18</x:v>
      </x:c>
      <x:c r="C4" s="4" t="s">
        <x:v>54</x:v>
      </x:c>
      <x:c r="D4" s="4" t="s">
        <x:v>55</x:v>
      </x:c>
      <x:c r="E4" s="4" t="s">
        <x:v>56</x:v>
      </x:c>
      <x:c r="F4" s="4" t="s">
        <x:v>19</x:v>
      </x:c>
      <x:c r="G4" s="4"/>
      <x:c r="H4" s="4" t="s">
        <x:v>57</x:v>
      </x:c>
      <x:c r="I4" s="4" t="s">
        <x:v>58</x:v>
      </x:c>
      <x:c r="J4" s="4"/>
      <x:c r="K4" s="4"/>
      <x:c r="L4" s="4" t="str">
        <x:v>Done</x:v>
      </x:c>
      <x:c r="M4" s="5">
        <x:f t="shared" ref="M4:M35" si="0">IF(L4="Done",1,IF(L4="In Progress",0.5,IF(L4="Blocked",0.25,0)))</x:f>
        <x:v>1</x:v>
      </x:c>
    </x:row>
    <x:row r="5" ht="28.5">
      <x:c r="A5" s="4" t="s">
        <x:v>59</x:v>
      </x:c>
      <x:c r="B5" s="4" t="s">
        <x:v>18</x:v>
      </x:c>
      <x:c r="C5" s="4" t="s">
        <x:v>60</x:v>
      </x:c>
      <x:c r="D5" s="4" t="s">
        <x:v>61</x:v>
      </x:c>
      <x:c r="E5" s="4" t="s">
        <x:v>62</x:v>
      </x:c>
      <x:c r="F5" s="4" t="s">
        <x:v>19</x:v>
      </x:c>
      <x:c r="G5" s="4" t="s">
        <x:v>53</x:v>
      </x:c>
      <x:c r="H5" s="4" t="s">
        <x:v>63</x:v>
      </x:c>
      <x:c r="I5" s="4" t="s">
        <x:v>64</x:v>
      </x:c>
      <x:c r="J5" s="4"/>
      <x:c r="K5" s="4"/>
      <x:c r="L5" s="4" t="str">
        <x:v>Done</x:v>
      </x:c>
      <x:c r="M5" s="5">
        <x:f t="shared" si="0">IF(L5="Done",1,IF(L5="In Progress",0.5,IF(L5="Blocked",0.25,0)))</x:f>
        <x:v>1</x:v>
      </x:c>
    </x:row>
    <x:row r="6" ht="42.75">
      <x:c r="A6" s="4" t="s">
        <x:v>65</x:v>
      </x:c>
      <x:c r="B6" s="4" t="s">
        <x:v>18</x:v>
      </x:c>
      <x:c r="C6" s="4" t="s">
        <x:v>66</x:v>
      </x:c>
      <x:c r="D6" s="4" t="s">
        <x:v>67</x:v>
      </x:c>
      <x:c r="E6" s="4" t="s">
        <x:v>68</x:v>
      </x:c>
      <x:c r="F6" s="4" t="s">
        <x:v>19</x:v>
      </x:c>
      <x:c r="G6" s="4" t="s">
        <x:v>59</x:v>
      </x:c>
      <x:c r="H6" s="4" t="s">
        <x:v>69</x:v>
      </x:c>
      <x:c r="I6" s="4" t="s">
        <x:v>70</x:v>
      </x:c>
      <x:c r="J6" s="4"/>
      <x:c r="K6" s="4"/>
      <x:c r="L6" s="4" t="str">
        <x:v>Done</x:v>
      </x:c>
      <x:c r="M6" s="5">
        <x:f t="shared" si="0">IF(L6="Done",1,IF(L6="In Progress",0.5,IF(L6="Blocked",0.25,0)))</x:f>
        <x:v>1</x:v>
      </x:c>
    </x:row>
    <x:row r="7" ht="28.5">
      <x:c r="A7" s="4" t="s">
        <x:v>71</x:v>
      </x:c>
      <x:c r="B7" s="4" t="s">
        <x:v>18</x:v>
      </x:c>
      <x:c r="C7" s="4" t="s">
        <x:v>72</x:v>
      </x:c>
      <x:c r="D7" s="4" t="s">
        <x:v>73</x:v>
      </x:c>
      <x:c r="E7" s="4" t="s">
        <x:v>74</x:v>
      </x:c>
      <x:c r="F7" s="4" t="s">
        <x:v>21</x:v>
      </x:c>
      <x:c r="G7" s="4" t="s">
        <x:v>53</x:v>
      </x:c>
      <x:c r="H7" s="4" t="s">
        <x:v>75</x:v>
      </x:c>
      <x:c r="I7" s="4" t="s">
        <x:v>76</x:v>
      </x:c>
      <x:c r="J7" s="4"/>
      <x:c r="K7" s="4"/>
      <x:c r="L7" s="4" t="str">
        <x:v>Done</x:v>
      </x:c>
      <x:c r="M7" s="5">
        <x:f t="shared" si="0">IF(L7="Done",1,IF(L7="In Progress",0.5,IF(L7="Blocked",0.25,0)))</x:f>
        <x:v>1</x:v>
      </x:c>
    </x:row>
    <x:row r="8" ht="28.5">
      <x:c r="A8" s="4" t="s">
        <x:v>77</x:v>
      </x:c>
      <x:c r="B8" s="4" t="s">
        <x:v>20</x:v>
      </x:c>
      <x:c r="C8" s="4" t="s">
        <x:v>78</x:v>
      </x:c>
      <x:c r="D8" s="4" t="s">
        <x:v>79</x:v>
      </x:c>
      <x:c r="E8" s="4" t="s">
        <x:v>80</x:v>
      </x:c>
      <x:c r="F8" s="4" t="s">
        <x:v>19</x:v>
      </x:c>
      <x:c r="G8" s="4" t="s">
        <x:v>65</x:v>
      </x:c>
      <x:c r="H8" s="4" t="s">
        <x:v>81</x:v>
      </x:c>
      <x:c r="I8" s="4" t="s">
        <x:v>82</x:v>
      </x:c>
      <x:c r="J8" s="4"/>
      <x:c r="K8" s="4"/>
      <x:c r="L8" s="4" t="str">
        <x:v>Done</x:v>
      </x:c>
      <x:c r="M8" s="5">
        <x:f t="shared" si="0">IF(L8="Done",1,IF(L8="In Progress",0.5,IF(L8="Blocked",0.25,0)))</x:f>
        <x:v>1</x:v>
      </x:c>
    </x:row>
    <x:row r="9" ht="28.5">
      <x:c r="A9" s="4" t="s">
        <x:v>83</x:v>
      </x:c>
      <x:c r="B9" s="4" t="s">
        <x:v>20</x:v>
      </x:c>
      <x:c r="C9" s="4" t="s">
        <x:v>84</x:v>
      </x:c>
      <x:c r="D9" s="4" t="s">
        <x:v>85</x:v>
      </x:c>
      <x:c r="E9" s="4" t="s">
        <x:v>80</x:v>
      </x:c>
      <x:c r="F9" s="4" t="s">
        <x:v>21</x:v>
      </x:c>
      <x:c r="G9" s="4" t="s">
        <x:v>77</x:v>
      </x:c>
      <x:c r="H9" s="4" t="s">
        <x:v>86</x:v>
      </x:c>
      <x:c r="I9" s="4" t="s">
        <x:v>87</x:v>
      </x:c>
      <x:c r="J9" s="4"/>
      <x:c r="K9" s="4"/>
      <x:c r="L9" s="4" t="str">
        <x:v>Done</x:v>
      </x:c>
      <x:c r="M9" s="5">
        <x:f t="shared" si="0">IF(L9="Done",1,IF(L9="In Progress",0.5,IF(L9="Blocked",0.25,0)))</x:f>
        <x:v>1</x:v>
      </x:c>
    </x:row>
    <x:row r="10" ht="28.5">
      <x:c r="A10" s="4" t="s">
        <x:v>88</x:v>
      </x:c>
      <x:c r="B10" s="4" t="s">
        <x:v>20</x:v>
      </x:c>
      <x:c r="C10" s="4" t="s">
        <x:v>89</x:v>
      </x:c>
      <x:c r="D10" s="4" t="s">
        <x:v>90</x:v>
      </x:c>
      <x:c r="E10" s="4" t="s">
        <x:v>80</x:v>
      </x:c>
      <x:c r="F10" s="4" t="s">
        <x:v>19</x:v>
      </x:c>
      <x:c r="G10" s="4" t="s">
        <x:v>77</x:v>
      </x:c>
      <x:c r="H10" s="4" t="s">
        <x:v>91</x:v>
      </x:c>
      <x:c r="I10" s="4" t="s">
        <x:v>92</x:v>
      </x:c>
      <x:c r="J10" s="4"/>
      <x:c r="K10" s="4"/>
      <x:c r="L10" s="4" t="str">
        <x:v>Done</x:v>
      </x:c>
      <x:c r="M10" s="5">
        <x:f t="shared" si="0">IF(L10="Done",1,IF(L10="In Progress",0.5,IF(L10="Blocked",0.25,0)))</x:f>
        <x:v>1</x:v>
      </x:c>
    </x:row>
    <x:row r="11" ht="28.5">
      <x:c r="A11" s="4" t="s">
        <x:v>93</x:v>
      </x:c>
      <x:c r="B11" s="4" t="s">
        <x:v>20</x:v>
      </x:c>
      <x:c r="C11" s="4" t="s">
        <x:v>94</x:v>
      </x:c>
      <x:c r="D11" s="4" t="s">
        <x:v>95</x:v>
      </x:c>
      <x:c r="E11" s="4" t="s">
        <x:v>80</x:v>
      </x:c>
      <x:c r="F11" s="4" t="s">
        <x:v>21</x:v>
      </x:c>
      <x:c r="G11" s="4" t="s">
        <x:v>88</x:v>
      </x:c>
      <x:c r="H11" s="4" t="s">
        <x:v>96</x:v>
      </x:c>
      <x:c r="I11" s="4" t="s">
        <x:v>97</x:v>
      </x:c>
      <x:c r="J11" s="4"/>
      <x:c r="K11" s="4"/>
      <x:c r="L11" s="4" t="str">
        <x:v>Done</x:v>
      </x:c>
      <x:c r="M11" s="5">
        <x:f t="shared" si="0">IF(L11="Done",1,IF(L11="In Progress",0.5,IF(L11="Blocked",0.25,0)))</x:f>
        <x:v>1</x:v>
      </x:c>
    </x:row>
    <x:row r="12" ht="28.5">
      <x:c r="A12" s="4" t="s">
        <x:v>98</x:v>
      </x:c>
      <x:c r="B12" s="4" t="s">
        <x:v>20</x:v>
      </x:c>
      <x:c r="C12" s="4" t="s">
        <x:v>99</x:v>
      </x:c>
      <x:c r="D12" s="4" t="s">
        <x:v>100</x:v>
      </x:c>
      <x:c r="E12" s="4" t="s">
        <x:v>80</x:v>
      </x:c>
      <x:c r="F12" s="4" t="s">
        <x:v>19</x:v>
      </x:c>
      <x:c r="G12" s="4" t="s">
        <x:v>77</x:v>
      </x:c>
      <x:c r="H12" s="4" t="s">
        <x:v>101</x:v>
      </x:c>
      <x:c r="I12" s="4" t="s">
        <x:v>102</x:v>
      </x:c>
      <x:c r="J12" s="4"/>
      <x:c r="K12" s="4"/>
      <x:c r="L12" s="4" t="str">
        <x:v>Done</x:v>
      </x:c>
      <x:c r="M12" s="5">
        <x:f t="shared" si="0">IF(L12="Done",1,IF(L12="In Progress",0.5,IF(L12="Blocked",0.25,0)))</x:f>
        <x:v>1</x:v>
      </x:c>
    </x:row>
    <x:row r="13" ht="28.5">
      <x:c r="A13" s="4" t="s">
        <x:v>103</x:v>
      </x:c>
      <x:c r="B13" s="4" t="s">
        <x:v>20</x:v>
      </x:c>
      <x:c r="C13" s="4" t="s">
        <x:v>104</x:v>
      </x:c>
      <x:c r="D13" s="4" t="s">
        <x:v>105</x:v>
      </x:c>
      <x:c r="E13" s="4" t="s">
        <x:v>80</x:v>
      </x:c>
      <x:c r="F13" s="4" t="s">
        <x:v>19</x:v>
      </x:c>
      <x:c r="G13" s="4" t="s">
        <x:v>98</x:v>
      </x:c>
      <x:c r="H13" s="4" t="s">
        <x:v>106</x:v>
      </x:c>
      <x:c r="I13" s="4" t="s">
        <x:v>107</x:v>
      </x:c>
      <x:c r="J13" s="4"/>
      <x:c r="K13" s="4"/>
      <x:c r="L13" s="4" t="str">
        <x:v>Done</x:v>
      </x:c>
      <x:c r="M13" s="5">
        <x:f t="shared" si="0">IF(L13="Done",1,IF(L13="In Progress",0.5,IF(L13="Blocked",0.25,0)))</x:f>
        <x:v>1</x:v>
      </x:c>
    </x:row>
    <x:row r="14" ht="28.5">
      <x:c r="A14" s="4" t="s">
        <x:v>108</x:v>
      </x:c>
      <x:c r="B14" s="4" t="s">
        <x:v>22</x:v>
      </x:c>
      <x:c r="C14" s="4" t="s">
        <x:v>109</x:v>
      </x:c>
      <x:c r="D14" s="4" t="s">
        <x:v>110</x:v>
      </x:c>
      <x:c r="E14" s="4" t="s">
        <x:v>62</x:v>
      </x:c>
      <x:c r="F14" s="4" t="s">
        <x:v>19</x:v>
      </x:c>
      <x:c r="G14" s="4" t="s">
        <x:v>111</x:v>
      </x:c>
      <x:c r="H14" s="4" t="s">
        <x:v>112</x:v>
      </x:c>
      <x:c r="I14" s="4" t="s">
        <x:v>113</x:v>
      </x:c>
      <x:c r="J14" s="4"/>
      <x:c r="K14" s="4"/>
      <x:c r="L14" s="4" t="str">
        <x:v>In Progress</x:v>
      </x:c>
      <x:c r="M14" s="5">
        <x:f t="shared" si="0">IF(L14="Done",1,IF(L14="In Progress",0.5,IF(L14="Blocked",0.25,0)))</x:f>
        <x:v>0.5</x:v>
      </x:c>
    </x:row>
    <x:row r="15" ht="28.5">
      <x:c r="A15" s="4" t="s">
        <x:v>114</x:v>
      </x:c>
      <x:c r="B15" s="4" t="s">
        <x:v>22</x:v>
      </x:c>
      <x:c r="C15" s="4" t="s">
        <x:v>115</x:v>
      </x:c>
      <x:c r="D15" s="4" t="s">
        <x:v>116</x:v>
      </x:c>
      <x:c r="E15" s="4" t="s">
        <x:v>62</x:v>
      </x:c>
      <x:c r="F15" s="4" t="s">
        <x:v>19</x:v>
      </x:c>
      <x:c r="G15" s="4" t="s">
        <x:v>108</x:v>
      </x:c>
      <x:c r="H15" s="4" t="s">
        <x:v>117</x:v>
      </x:c>
      <x:c r="I15" s="4" t="s">
        <x:v>118</x:v>
      </x:c>
      <x:c r="J15" s="4"/>
      <x:c r="K15" s="4"/>
      <x:c r="L15" s="4" t="str">
        <x:v>Done</x:v>
      </x:c>
      <x:c r="M15" s="5">
        <x:f t="shared" si="0">IF(L15="Done",1,IF(L15="In Progress",0.5,IF(L15="Blocked",0.25,0)))</x:f>
        <x:v>1</x:v>
      </x:c>
    </x:row>
    <x:row r="16" ht="28.5">
      <x:c r="A16" s="4" t="s">
        <x:v>119</x:v>
      </x:c>
      <x:c r="B16" s="4" t="s">
        <x:v>22</x:v>
      </x:c>
      <x:c r="C16" s="4" t="s">
        <x:v>120</x:v>
      </x:c>
      <x:c r="D16" s="4" t="s">
        <x:v>121</x:v>
      </x:c>
      <x:c r="E16" s="4" t="s">
        <x:v>62</x:v>
      </x:c>
      <x:c r="F16" s="4" t="s">
        <x:v>19</x:v>
      </x:c>
      <x:c r="G16" s="4" t="s">
        <x:v>108</x:v>
      </x:c>
      <x:c r="H16" s="4" t="s">
        <x:v>122</x:v>
      </x:c>
      <x:c r="I16" s="4" t="s">
        <x:v>123</x:v>
      </x:c>
      <x:c r="J16" s="4"/>
      <x:c r="K16" s="4"/>
      <x:c r="L16" s="4" t="inlineStr">
        <x:is>
          <x:t>Done</x:t>
        </x:is>
      </x:c>
      <x:c r="M16" s="5">
        <x:f t="shared" si="0">IF(L16="Done",1,IF(L16="In Progress",0.5,IF(L16="Blocked",0.25,0)))</x:f>
        <x:v>1</x:v>
      </x:c>
    </x:row>
    <x:row r="17" ht="28.5">
      <x:c r="A17" s="4" t="s">
        <x:v>124</x:v>
      </x:c>
      <x:c r="B17" s="4" t="s">
        <x:v>22</x:v>
      </x:c>
      <x:c r="C17" s="4" t="s">
        <x:v>125</x:v>
      </x:c>
      <x:c r="D17" s="4" t="s">
        <x:v>126</x:v>
      </x:c>
      <x:c r="E17" s="4" t="s">
        <x:v>62</x:v>
      </x:c>
      <x:c r="F17" s="4" t="s">
        <x:v>21</x:v>
      </x:c>
      <x:c r="G17" s="4" t="s">
        <x:v>127</x:v>
      </x:c>
      <x:c r="H17" s="4" t="s">
        <x:v>128</x:v>
      </x:c>
      <x:c r="I17" s="4" t="s">
        <x:v>129</x:v>
      </x:c>
      <x:c r="J17" s="4"/>
      <x:c r="K17" s="4"/>
      <x:c r="L17" s="4" t="str">
        <x:v>Done</x:v>
      </x:c>
      <x:c r="M17" s="5">
        <x:f t="shared" si="0">IF(L17="Done",1,IF(L17="In Progress",0.5,IF(L17="Blocked",0.25,0)))</x:f>
        <x:v>1</x:v>
      </x:c>
    </x:row>
    <x:row r="18" ht="28.5">
      <x:c r="A18" s="4" t="s">
        <x:v>130</x:v>
      </x:c>
      <x:c r="B18" s="4" t="s">
        <x:v>22</x:v>
      </x:c>
      <x:c r="C18" s="4" t="s">
        <x:v>131</x:v>
      </x:c>
      <x:c r="D18" s="4" t="s">
        <x:v>132</x:v>
      </x:c>
      <x:c r="E18" s="4" t="s">
        <x:v>62</x:v>
      </x:c>
      <x:c r="F18" s="4" t="s">
        <x:v>19</x:v>
      </x:c>
      <x:c r="G18" s="4" t="s">
        <x:v>108</x:v>
      </x:c>
      <x:c r="H18" s="4" t="s">
        <x:v>133</x:v>
      </x:c>
      <x:c r="I18" s="4" t="s">
        <x:v>134</x:v>
      </x:c>
      <x:c r="J18" s="4"/>
      <x:c r="K18" s="4"/>
      <x:c r="L18" s="4" t="str">
        <x:v>Done</x:v>
      </x:c>
      <x:c r="M18" s="5">
        <x:f t="shared" si="0">IF(L18="Done",1,IF(L18="In Progress",0.5,IF(L18="Blocked",0.25,0)))</x:f>
        <x:v>1</x:v>
      </x:c>
    </x:row>
    <x:row r="19" ht="28.5">
      <x:c r="A19" s="4" t="s">
        <x:v>135</x:v>
      </x:c>
      <x:c r="B19" s="4" t="s">
        <x:v>24</x:v>
      </x:c>
      <x:c r="C19" s="4" t="s">
        <x:v>136</x:v>
      </x:c>
      <x:c r="D19" s="4" t="s">
        <x:v>137</x:v>
      </x:c>
      <x:c r="E19" s="4" t="s">
        <x:v>62</x:v>
      </x:c>
      <x:c r="F19" s="4" t="s">
        <x:v>19</x:v>
      </x:c>
      <x:c r="G19" s="4" t="s">
        <x:v>138</x:v>
      </x:c>
      <x:c r="H19" s="4" t="s">
        <x:v>139</x:v>
      </x:c>
      <x:c r="I19" s="4" t="s">
        <x:v>140</x:v>
      </x:c>
      <x:c r="J19" s="4"/>
      <x:c r="K19" s="4"/>
      <x:c r="L19" s="4" t="str">
        <x:v>Done</x:v>
      </x:c>
      <x:c r="M19" s="5">
        <x:f t="shared" si="0">IF(L19="Done",1,IF(L19="In Progress",0.5,IF(L19="Blocked",0.25,0)))</x:f>
        <x:v>1</x:v>
      </x:c>
    </x:row>
    <x:row r="20" ht="42.75">
      <x:c r="A20" s="4" t="s">
        <x:v>141</x:v>
      </x:c>
      <x:c r="B20" s="4" t="s">
        <x:v>24</x:v>
      </x:c>
      <x:c r="C20" s="4" t="s">
        <x:v>142</x:v>
      </x:c>
      <x:c r="D20" s="4" t="s">
        <x:v>143</x:v>
      </x:c>
      <x:c r="E20" s="4" t="s">
        <x:v>62</x:v>
      </x:c>
      <x:c r="F20" s="4" t="s">
        <x:v>19</x:v>
      </x:c>
      <x:c r="G20" s="4" t="s">
        <x:v>135</x:v>
      </x:c>
      <x:c r="H20" s="4" t="s">
        <x:v>144</x:v>
      </x:c>
      <x:c r="I20" s="4" t="s">
        <x:v>145</x:v>
      </x:c>
      <x:c r="J20" s="4"/>
      <x:c r="K20" s="4"/>
      <x:c r="L20" s="4" t="str">
        <x:v>Done</x:v>
      </x:c>
      <x:c r="M20" s="5">
        <x:f t="shared" si="0">IF(L20="Done",1,IF(L20="In Progress",0.5,IF(L20="Blocked",0.25,0)))</x:f>
        <x:v>1</x:v>
      </x:c>
    </x:row>
    <x:row r="21" ht="28.5">
      <x:c r="A21" s="4" t="s">
        <x:v>146</x:v>
      </x:c>
      <x:c r="B21" s="4" t="s">
        <x:v>24</x:v>
      </x:c>
      <x:c r="C21" s="4" t="s">
        <x:v>147</x:v>
      </x:c>
      <x:c r="D21" s="4" t="s">
        <x:v>148</x:v>
      </x:c>
      <x:c r="E21" s="4" t="s">
        <x:v>62</x:v>
      </x:c>
      <x:c r="F21" s="4" t="s">
        <x:v>21</x:v>
      </x:c>
      <x:c r="G21" s="4" t="s">
        <x:v>141</x:v>
      </x:c>
      <x:c r="H21" s="4" t="s">
        <x:v>149</x:v>
      </x:c>
      <x:c r="I21" s="4" t="s">
        <x:v>150</x:v>
      </x:c>
      <x:c r="J21" s="4"/>
      <x:c r="K21" s="4"/>
      <x:c r="L21" s="4" t="inlineStr">
        <x:is>
          <x:t>Done</x:t>
        </x:is>
      </x:c>
      <x:c r="M21" s="5">
        <x:f t="shared" si="0">IF(L21="Done",1,IF(L21="In Progress",0.5,IF(L21="Blocked",0.25,0)))</x:f>
        <x:v>1</x:v>
      </x:c>
    </x:row>
    <x:row r="22" ht="15">
      <x:c r="A22" s="4" t="s">
        <x:v>151</x:v>
      </x:c>
      <x:c r="B22" s="4" t="s">
        <x:v>24</x:v>
      </x:c>
      <x:c r="C22" s="4" t="s">
        <x:v>152</x:v>
      </x:c>
      <x:c r="D22" s="4" t="s">
        <x:v>153</x:v>
      </x:c>
      <x:c r="E22" s="4" t="s">
        <x:v>62</x:v>
      </x:c>
      <x:c r="F22" s="4" t="s">
        <x:v>19</x:v>
      </x:c>
      <x:c r="G22" s="4" t="s">
        <x:v>154</x:v>
      </x:c>
      <x:c r="H22" s="4" t="s">
        <x:v>155</x:v>
      </x:c>
      <x:c r="I22" s="4" t="s">
        <x:v>156</x:v>
      </x:c>
      <x:c r="J22" s="4"/>
      <x:c r="K22" s="4"/>
      <x:c r="L22" s="4" t="str">
        <x:v>Done</x:v>
      </x:c>
      <x:c r="M22" s="5">
        <x:f t="shared" si="0">IF(L22="Done",1,IF(L22="In Progress",0.5,IF(L22="Blocked",0.25,0)))</x:f>
        <x:v>1</x:v>
      </x:c>
    </x:row>
    <x:row r="23" ht="28.5">
      <x:c r="A23" s="4" t="s">
        <x:v>157</x:v>
      </x:c>
      <x:c r="B23" s="4" t="s">
        <x:v>24</x:v>
      </x:c>
      <x:c r="C23" s="4" t="s">
        <x:v>158</x:v>
      </x:c>
      <x:c r="D23" s="4" t="s">
        <x:v>159</x:v>
      </x:c>
      <x:c r="E23" s="4" t="s">
        <x:v>62</x:v>
      </x:c>
      <x:c r="F23" s="4" t="s">
        <x:v>19</x:v>
      </x:c>
      <x:c r="G23" s="4" t="s">
        <x:v>160</x:v>
      </x:c>
      <x:c r="H23" s="4" t="s">
        <x:v>161</x:v>
      </x:c>
      <x:c r="I23" s="4" t="s">
        <x:v>162</x:v>
      </x:c>
      <x:c r="J23" s="4"/>
      <x:c r="K23" s="4"/>
      <x:c r="L23" s="4" t="inlineStr">
        <x:is>
          <x:t>Done</x:t>
        </x:is>
      </x:c>
      <x:c r="M23" s="5">
        <x:f t="shared" si="0">IF(L23="Done",1,IF(L23="In Progress",0.5,IF(L23="Blocked",0.25,0)))</x:f>
        <x:v>1</x:v>
      </x:c>
    </x:row>
    <x:row r="24" ht="28.5">
      <x:c r="A24" s="4" t="s">
        <x:v>163</x:v>
      </x:c>
      <x:c r="B24" s="4" t="s">
        <x:v>24</x:v>
      </x:c>
      <x:c r="C24" s="4" t="s">
        <x:v>164</x:v>
      </x:c>
      <x:c r="D24" s="4" t="s">
        <x:v>165</x:v>
      </x:c>
      <x:c r="E24" s="4" t="s">
        <x:v>62</x:v>
      </x:c>
      <x:c r="F24" s="4" t="s">
        <x:v>21</x:v>
      </x:c>
      <x:c r="G24" s="4" t="s">
        <x:v>157</x:v>
      </x:c>
      <x:c r="H24" s="4" t="s">
        <x:v>166</x:v>
      </x:c>
      <x:c r="I24" s="4" t="s">
        <x:v>167</x:v>
      </x:c>
      <x:c r="J24" s="4"/>
      <x:c r="K24" s="4"/>
      <x:c r="L24" s="4" t="inlineStr">
        <x:is>
          <x:t>Done</x:t>
        </x:is>
      </x:c>
      <x:c r="M24" s="5">
        <x:f t="shared" si="0">IF(L24="Done",1,IF(L24="In Progress",0.5,IF(L24="Blocked",0.25,0)))</x:f>
        <x:v>1</x:v>
      </x:c>
    </x:row>
    <x:row r="25" ht="15">
      <x:c r="A25" s="4" t="s">
        <x:v>168</x:v>
      </x:c>
      <x:c r="B25" s="4" t="s">
        <x:v>25</x:v>
      </x:c>
      <x:c r="C25" s="4" t="s">
        <x:v>169</x:v>
      </x:c>
      <x:c r="D25" s="4" t="s">
        <x:v>170</x:v>
      </x:c>
      <x:c r="E25" s="4" t="s">
        <x:v>62</x:v>
      </x:c>
      <x:c r="F25" s="4" t="s">
        <x:v>19</x:v>
      </x:c>
      <x:c r="G25" s="4" t="s">
        <x:v>163</x:v>
      </x:c>
      <x:c r="H25" s="4" t="s">
        <x:v>171</x:v>
      </x:c>
      <x:c r="I25" s="4" t="s">
        <x:v>172</x:v>
      </x:c>
      <x:c r="J25" s="4"/>
      <x:c r="K25" s="4"/>
      <x:c r="L25" s="4" t="str">
        <x:v>Done</x:v>
      </x:c>
      <x:c r="M25" s="5">
        <x:f t="shared" si="0">IF(L25="Done",1,IF(L25="In Progress",0.5,IF(L25="Blocked",0.25,0)))</x:f>
        <x:v>1</x:v>
      </x:c>
    </x:row>
    <x:row r="26" ht="15">
      <x:c r="A26" s="4" t="s">
        <x:v>173</x:v>
      </x:c>
      <x:c r="B26" s="4" t="s">
        <x:v>25</x:v>
      </x:c>
      <x:c r="C26" s="4" t="s">
        <x:v>174</x:v>
      </x:c>
      <x:c r="D26" s="4" t="s">
        <x:v>175</x:v>
      </x:c>
      <x:c r="E26" s="4" t="s">
        <x:v>62</x:v>
      </x:c>
      <x:c r="F26" s="4" t="s">
        <x:v>19</x:v>
      </x:c>
      <x:c r="G26" s="4" t="s">
        <x:v>168</x:v>
      </x:c>
      <x:c r="H26" s="4" t="s">
        <x:v>176</x:v>
      </x:c>
      <x:c r="I26" s="4" t="s">
        <x:v>177</x:v>
      </x:c>
      <x:c r="J26" s="4"/>
      <x:c r="K26" s="4"/>
      <x:c r="L26" s="4" t="str">
        <x:v>Done</x:v>
      </x:c>
      <x:c r="M26" s="5">
        <x:f t="shared" si="0">IF(L26="Done",1,IF(L26="In Progress",0.5,IF(L26="Blocked",0.25,0)))</x:f>
        <x:v>1</x:v>
      </x:c>
    </x:row>
    <x:row r="27" ht="15">
      <x:c r="A27" s="4" t="s">
        <x:v>178</x:v>
      </x:c>
      <x:c r="B27" s="4" t="s">
        <x:v>25</x:v>
      </x:c>
      <x:c r="C27" s="4" t="s">
        <x:v>179</x:v>
      </x:c>
      <x:c r="D27" s="4" t="s">
        <x:v>180</x:v>
      </x:c>
      <x:c r="E27" s="4" t="s">
        <x:v>62</x:v>
      </x:c>
      <x:c r="F27" s="4" t="s">
        <x:v>19</x:v>
      </x:c>
      <x:c r="G27" s="4" t="s">
        <x:v>181</x:v>
      </x:c>
      <x:c r="H27" s="4" t="s">
        <x:v>182</x:v>
      </x:c>
      <x:c r="I27" s="4" t="s">
        <x:v>183</x:v>
      </x:c>
      <x:c r="J27" s="4"/>
      <x:c r="K27" s="4"/>
      <x:c r="L27" s="4" t="str">
        <x:v>Done</x:v>
      </x:c>
      <x:c r="M27" s="5">
        <x:f t="shared" si="0">IF(L27="Done",1,IF(L27="In Progress",0.5,IF(L27="Blocked",0.25,0)))</x:f>
        <x:v>1</x:v>
      </x:c>
    </x:row>
    <x:row r="28">
      <x:c r="A28" s="4" t="s">
        <x:v>184</x:v>
      </x:c>
      <x:c r="B28" s="4" t="s">
        <x:v>25</x:v>
      </x:c>
      <x:c r="C28" s="4" t="s">
        <x:v>185</x:v>
      </x:c>
      <x:c r="D28" s="4" t="s">
        <x:v>186</x:v>
      </x:c>
      <x:c r="E28" s="4" t="s">
        <x:v>62</x:v>
      </x:c>
      <x:c r="F28" s="4" t="s">
        <x:v>21</x:v>
      </x:c>
      <x:c r="G28" s="4" t="s">
        <x:v>151</x:v>
      </x:c>
      <x:c r="H28" s="4" t="s">
        <x:v>187</x:v>
      </x:c>
      <x:c r="I28" s="4" t="s">
        <x:v>188</x:v>
      </x:c>
      <x:c r="J28" s="4"/>
      <x:c r="K28" s="4"/>
      <x:c r="L28" s="4" t="str">
        <x:v>Done</x:v>
      </x:c>
      <x:c r="M28" s="5">
        <x:f t="shared" si="0">IF(L28="Done",1,IF(L28="In Progress",0.5,IF(L28="Blocked",0.25,0)))</x:f>
        <x:v>1</x:v>
      </x:c>
    </x:row>
    <x:row r="29" ht="28.5">
      <x:c r="A29" s="4" t="s">
        <x:v>189</x:v>
      </x:c>
      <x:c r="B29" s="4" t="s">
        <x:v>25</x:v>
      </x:c>
      <x:c r="C29" s="4" t="s">
        <x:v>190</x:v>
      </x:c>
      <x:c r="D29" s="4" t="s">
        <x:v>191</x:v>
      </x:c>
      <x:c r="E29" s="4" t="s">
        <x:v>62</x:v>
      </x:c>
      <x:c r="F29" s="4" t="s">
        <x:v>19</x:v>
      </x:c>
      <x:c r="G29" s="4" t="s">
        <x:v>192</x:v>
      </x:c>
      <x:c r="H29" s="4" t="s">
        <x:v>193</x:v>
      </x:c>
      <x:c r="I29" s="4" t="s">
        <x:v>194</x:v>
      </x:c>
      <x:c r="J29" s="4"/>
      <x:c r="K29" s="4"/>
      <x:c r="L29" s="4" t="str">
        <x:v>Done</x:v>
      </x:c>
      <x:c r="M29" s="5">
        <x:f t="shared" si="0">IF(L29="Done",1,IF(L29="In Progress",0.5,IF(L29="Blocked",0.25,0)))</x:f>
        <x:v>1</x:v>
      </x:c>
    </x:row>
    <x:row r="30" ht="28.5">
      <x:c r="A30" s="4" t="s">
        <x:v>195</x:v>
      </x:c>
      <x:c r="B30" s="4" t="s">
        <x:v>26</x:v>
      </x:c>
      <x:c r="C30" s="4" t="s">
        <x:v>196</x:v>
      </x:c>
      <x:c r="D30" s="4" t="s">
        <x:v>197</x:v>
      </x:c>
      <x:c r="E30" s="4" t="s">
        <x:v>62</x:v>
      </x:c>
      <x:c r="F30" s="4" t="s">
        <x:v>19</x:v>
      </x:c>
      <x:c r="G30" s="4" t="s">
        <x:v>198</x:v>
      </x:c>
      <x:c r="H30" s="4" t="s">
        <x:v>199</x:v>
      </x:c>
      <x:c r="I30" s="4" t="s">
        <x:v>200</x:v>
      </x:c>
      <x:c r="J30" s="4"/>
      <x:c r="K30" s="4"/>
      <x:c r="L30" s="4" t="str">
        <x:v>Done</x:v>
      </x:c>
      <x:c r="M30" s="5">
        <x:f t="shared" si="0">IF(L30="Done",1,IF(L30="In Progress",0.5,IF(L30="Blocked",0.25,0)))</x:f>
        <x:v>1</x:v>
      </x:c>
    </x:row>
    <x:row r="31" ht="28.5">
      <x:c r="A31" s="4" t="s">
        <x:v>201</x:v>
      </x:c>
      <x:c r="B31" s="4" t="s">
        <x:v>26</x:v>
      </x:c>
      <x:c r="C31" s="4" t="s">
        <x:v>202</x:v>
      </x:c>
      <x:c r="D31" s="4" t="s">
        <x:v>203</x:v>
      </x:c>
      <x:c r="E31" s="4" t="s">
        <x:v>62</x:v>
      </x:c>
      <x:c r="F31" s="4" t="s">
        <x:v>19</x:v>
      </x:c>
      <x:c r="G31" s="4" t="s">
        <x:v>195</x:v>
      </x:c>
      <x:c r="H31" s="4" t="s">
        <x:v>204</x:v>
      </x:c>
      <x:c r="I31" s="4" t="s">
        <x:v>205</x:v>
      </x:c>
      <x:c r="J31" s="4"/>
      <x:c r="K31" s="4"/>
      <x:c r="L31" s="4" t="inlineStr">
        <x:is>
          <x:t>Done</x:t>
        </x:is>
      </x:c>
      <x:c r="M31" s="5">
        <x:f t="shared" si="0">IF(L31="Done",1,IF(L31="In Progress",0.5,IF(L31="Blocked",0.25,0)))</x:f>
        <x:v>1</x:v>
      </x:c>
    </x:row>
    <x:row r="32" ht="28.5">
      <x:c r="A32" s="4" t="s">
        <x:v>206</x:v>
      </x:c>
      <x:c r="B32" s="4" t="s">
        <x:v>26</x:v>
      </x:c>
      <x:c r="C32" s="4" t="s">
        <x:v>207</x:v>
      </x:c>
      <x:c r="D32" s="4" t="s">
        <x:v>208</x:v>
      </x:c>
      <x:c r="E32" s="4" t="s">
        <x:v>62</x:v>
      </x:c>
      <x:c r="F32" s="4" t="s">
        <x:v>19</x:v>
      </x:c>
      <x:c r="G32" s="4" t="s">
        <x:v>195</x:v>
      </x:c>
      <x:c r="H32" s="4" t="s">
        <x:v>209</x:v>
      </x:c>
      <x:c r="I32" s="4" t="s">
        <x:v>210</x:v>
      </x:c>
      <x:c r="J32" s="4"/>
      <x:c r="K32" s="4"/>
      <x:c r="L32" s="4" t="inlineStr">
        <x:is>
          <x:t>Done</x:t>
        </x:is>
      </x:c>
      <x:c r="M32" s="5">
        <x:f t="shared" si="0">IF(L32="Done",1,IF(L32="In Progress",0.5,IF(L32="Blocked",0.25,0)))</x:f>
        <x:v>1</x:v>
      </x:c>
    </x:row>
    <x:row r="33" ht="28.5">
      <x:c r="A33" s="4" t="s">
        <x:v>211</x:v>
      </x:c>
      <x:c r="B33" s="4" t="s">
        <x:v>26</x:v>
      </x:c>
      <x:c r="C33" s="4" t="s">
        <x:v>212</x:v>
      </x:c>
      <x:c r="D33" s="4" t="s">
        <x:v>213</x:v>
      </x:c>
      <x:c r="E33" s="4" t="s">
        <x:v>62</x:v>
      </x:c>
      <x:c r="F33" s="4" t="s">
        <x:v>19</x:v>
      </x:c>
      <x:c r="G33" s="4" t="s">
        <x:v>206</x:v>
      </x:c>
      <x:c r="H33" s="4" t="s">
        <x:v>214</x:v>
      </x:c>
      <x:c r="I33" s="4" t="s">
        <x:v>215</x:v>
      </x:c>
      <x:c r="J33" s="4"/>
      <x:c r="K33" s="4"/>
      <x:c r="L33" s="4" t="inlineStr">
        <x:is>
          <x:t>Done</x:t>
        </x:is>
      </x:c>
      <x:c r="M33" s="5">
        <x:f t="shared" si="0">IF(L33="Done",1,IF(L33="In Progress",0.5,IF(L33="Blocked",0.25,0)))</x:f>
        <x:v>1</x:v>
      </x:c>
    </x:row>
    <x:row r="34" ht="28.5">
      <x:c r="A34" s="4" t="s">
        <x:v>216</x:v>
      </x:c>
      <x:c r="B34" s="4" t="s">
        <x:v>26</x:v>
      </x:c>
      <x:c r="C34" s="4" t="s">
        <x:v>217</x:v>
      </x:c>
      <x:c r="D34" s="4" t="s">
        <x:v>218</x:v>
      </x:c>
      <x:c r="E34" s="4" t="s">
        <x:v>62</x:v>
      </x:c>
      <x:c r="F34" s="4" t="s">
        <x:v>21</x:v>
      </x:c>
      <x:c r="G34" s="4" t="s">
        <x:v>206</x:v>
      </x:c>
      <x:c r="H34" s="4" t="s">
        <x:v>219</x:v>
      </x:c>
      <x:c r="I34" s="4" t="s">
        <x:v>220</x:v>
      </x:c>
      <x:c r="J34" s="4"/>
      <x:c r="K34" s="4"/>
      <x:c r="L34" s="4" t="inlineStr">
        <x:is>
          <x:t>Done</x:t>
        </x:is>
      </x:c>
      <x:c r="M34" s="5">
        <x:f t="shared" si="0">IF(L34="Done",1,IF(L34="In Progress",0.5,IF(L34="Blocked",0.25,0)))</x:f>
        <x:v>1</x:v>
      </x:c>
    </x:row>
    <x:row r="35" ht="15">
      <x:c r="A35" s="4" t="s">
        <x:v>221</x:v>
      </x:c>
      <x:c r="B35" s="4" t="s">
        <x:v>26</x:v>
      </x:c>
      <x:c r="C35" s="4" t="s">
        <x:v>222</x:v>
      </x:c>
      <x:c r="D35" s="4" t="s">
        <x:v>223</x:v>
      </x:c>
      <x:c r="E35" s="4" t="s">
        <x:v>224</x:v>
      </x:c>
      <x:c r="F35" s="4" t="s">
        <x:v>19</x:v>
      </x:c>
      <x:c r="G35" s="4" t="s">
        <x:v>225</x:v>
      </x:c>
      <x:c r="H35" s="4" t="s">
        <x:v>226</x:v>
      </x:c>
      <x:c r="I35" s="4" t="s">
        <x:v>227</x:v>
      </x:c>
      <x:c r="J35" s="4"/>
      <x:c r="K35" s="4"/>
      <x:c r="L35" s="4" t="inlineStr">
        <x:is>
          <x:t>Done</x:t>
        </x:is>
      </x:c>
      <x:c r="M35" s="5">
        <x:f t="shared" si="0">IF(L35="Done",1,IF(L35="In Progress",0.5,IF(L35="Blocked",0.25,0)))</x:f>
        <x:v>1</x:v>
      </x:c>
    </x:row>
    <x:row r="36" ht="28.5">
      <x:c r="A36" s="4" t="s">
        <x:v>228</x:v>
      </x:c>
      <x:c r="B36" s="4" t="s">
        <x:v>26</x:v>
      </x:c>
      <x:c r="C36" s="4" t="s">
        <x:v>229</x:v>
      </x:c>
      <x:c r="D36" s="4" t="s">
        <x:v>230</x:v>
      </x:c>
      <x:c r="E36" s="4" t="s">
        <x:v>224</x:v>
      </x:c>
      <x:c r="F36" s="4" t="s">
        <x:v>19</x:v>
      </x:c>
      <x:c r="G36" s="4" t="s">
        <x:v>221</x:v>
      </x:c>
      <x:c r="H36" s="4" t="s">
        <x:v>231</x:v>
      </x:c>
      <x:c r="I36" s="4" t="s">
        <x:v>232</x:v>
      </x:c>
      <x:c r="J36" s="4"/>
      <x:c r="K36" s="4"/>
      <x:c r="L36" s="4" t="inlineStr">
        <x:is>
          <x:t>Done</x:t>
        </x:is>
      </x:c>
      <x:c r="M36" s="5">
        <x:f t="shared" ref="M36:M67" si="1">IF(L36="Done",1,IF(L36="In Progress",0.5,IF(L36="Blocked",0.25,0)))</x:f>
        <x:v>1</x:v>
      </x:c>
    </x:row>
    <x:row r="37" ht="15">
      <x:c r="A37" s="4" t="s">
        <x:v>233</x:v>
      </x:c>
      <x:c r="B37" s="4" t="s">
        <x:v>26</x:v>
      </x:c>
      <x:c r="C37" s="4" t="s">
        <x:v>234</x:v>
      </x:c>
      <x:c r="D37" s="4" t="s">
        <x:v>235</x:v>
      </x:c>
      <x:c r="E37" s="4" t="s">
        <x:v>224</x:v>
      </x:c>
      <x:c r="F37" s="4" t="s">
        <x:v>19</x:v>
      </x:c>
      <x:c r="G37" s="4" t="s">
        <x:v>228</x:v>
      </x:c>
      <x:c r="H37" s="4" t="s">
        <x:v>236</x:v>
      </x:c>
      <x:c r="I37" s="4" t="s">
        <x:v>237</x:v>
      </x:c>
      <x:c r="J37" s="4"/>
      <x:c r="K37" s="4"/>
      <x:c r="L37" s="4" t="inlineStr">
        <x:is>
          <x:t>Done</x:t>
        </x:is>
      </x:c>
      <x:c r="M37" s="5">
        <x:f t="shared" si="1">IF(L37="Done",1,IF(L37="In Progress",0.5,IF(L37="Blocked",0.25,0)))</x:f>
        <x:v>1</x:v>
      </x:c>
    </x:row>
    <x:row r="38" ht="28.5">
      <x:c r="A38" s="4" t="s">
        <x:v>238</x:v>
      </x:c>
      <x:c r="B38" s="4" t="s">
        <x:v>28</x:v>
      </x:c>
      <x:c r="C38" s="4" t="s">
        <x:v>239</x:v>
      </x:c>
      <x:c r="D38" s="4" t="s">
        <x:v>240</x:v>
      </x:c>
      <x:c r="E38" s="4" t="s">
        <x:v>62</x:v>
      </x:c>
      <x:c r="F38" s="4" t="s">
        <x:v>19</x:v>
      </x:c>
      <x:c r="G38" s="4" t="s">
        <x:v>241</x:v>
      </x:c>
      <x:c r="H38" s="4" t="s">
        <x:v>242</x:v>
      </x:c>
      <x:c r="I38" s="4" t="s">
        <x:v>243</x:v>
      </x:c>
      <x:c r="J38" s="4"/>
      <x:c r="K38" s="4"/>
      <x:c r="L38" s="4" t="inlineStr">
        <x:is>
          <x:t>Done</x:t>
        </x:is>
      </x:c>
      <x:c r="M38" s="5">
        <x:f t="shared" si="1">IF(L38="Done",1,IF(L38="In Progress",0.5,IF(L38="Blocked",0.25,0)))</x:f>
        <x:v>1</x:v>
      </x:c>
    </x:row>
    <x:row r="39" ht="28.5">
      <x:c r="A39" s="4" t="s">
        <x:v>244</x:v>
      </x:c>
      <x:c r="B39" s="4" t="s">
        <x:v>28</x:v>
      </x:c>
      <x:c r="C39" s="4" t="s">
        <x:v>245</x:v>
      </x:c>
      <x:c r="D39" s="4" t="s">
        <x:v>246</x:v>
      </x:c>
      <x:c r="E39" s="4" t="s">
        <x:v>62</x:v>
      </x:c>
      <x:c r="F39" s="4" t="s">
        <x:v>19</x:v>
      </x:c>
      <x:c r="G39" s="4" t="s">
        <x:v>238</x:v>
      </x:c>
      <x:c r="H39" s="4" t="s">
        <x:v>247</x:v>
      </x:c>
      <x:c r="I39" s="4" t="s">
        <x:v>248</x:v>
      </x:c>
      <x:c r="J39" s="4"/>
      <x:c r="K39" s="4"/>
      <x:c r="L39" s="4" t="inlineStr">
        <x:is>
          <x:t>Done</x:t>
        </x:is>
      </x:c>
      <x:c r="M39" s="5">
        <x:f t="shared" si="1">IF(L39="Done",1,IF(L39="In Progress",0.5,IF(L39="Blocked",0.25,0)))</x:f>
        <x:v>1</x:v>
      </x:c>
    </x:row>
    <x:row r="40" ht="15">
      <x:c r="A40" s="4" t="s">
        <x:v>249</x:v>
      </x:c>
      <x:c r="B40" s="4" t="s">
        <x:v>28</x:v>
      </x:c>
      <x:c r="C40" s="4" t="s">
        <x:v>250</x:v>
      </x:c>
      <x:c r="D40" s="4" t="s">
        <x:v>251</x:v>
      </x:c>
      <x:c r="E40" s="4" t="s">
        <x:v>62</x:v>
      </x:c>
      <x:c r="F40" s="4" t="s">
        <x:v>19</x:v>
      </x:c>
      <x:c r="G40" s="4" t="s">
        <x:v>238</x:v>
      </x:c>
      <x:c r="H40" s="4" t="s">
        <x:v>252</x:v>
      </x:c>
      <x:c r="I40" s="4" t="s">
        <x:v>253</x:v>
      </x:c>
      <x:c r="J40" s="4"/>
      <x:c r="K40" s="4"/>
      <x:c r="L40" s="4" t="inlineStr">
        <x:is>
          <x:t>Done</x:t>
        </x:is>
      </x:c>
      <x:c r="M40" s="5">
        <x:f t="shared" si="1">IF(L40="Done",1,IF(L40="In Progress",0.5,IF(L40="Blocked",0.25,0)))</x:f>
        <x:v>1</x:v>
      </x:c>
    </x:row>
    <x:row r="41" ht="28.5">
      <x:c r="A41" s="4" t="s">
        <x:v>254</x:v>
      </x:c>
      <x:c r="B41" s="4" t="s">
        <x:v>28</x:v>
      </x:c>
      <x:c r="C41" s="4" t="s">
        <x:v>255</x:v>
      </x:c>
      <x:c r="D41" s="4" t="s">
        <x:v>256</x:v>
      </x:c>
      <x:c r="E41" s="4" t="s">
        <x:v>62</x:v>
      </x:c>
      <x:c r="F41" s="4" t="s">
        <x:v>19</x:v>
      </x:c>
      <x:c r="G41" s="4" t="s">
        <x:v>257</x:v>
      </x:c>
      <x:c r="H41" s="4" t="s">
        <x:v>258</x:v>
      </x:c>
      <x:c r="I41" s="4" t="s">
        <x:v>259</x:v>
      </x:c>
      <x:c r="J41" s="4"/>
      <x:c r="K41" s="4"/>
      <x:c r="L41" s="4" t="inlineStr">
        <x:is>
          <x:t>Done</x:t>
        </x:is>
      </x:c>
      <x:c r="M41" s="5">
        <x:f t="shared" si="1">IF(L41="Done",1,IF(L41="In Progress",0.5,IF(L41="Blocked",0.25,0)))</x:f>
        <x:v>1</x:v>
      </x:c>
    </x:row>
    <x:row r="42" ht="28.5">
      <x:c r="A42" s="4" t="s">
        <x:v>260</x:v>
      </x:c>
      <x:c r="B42" s="4" t="s">
        <x:v>28</x:v>
      </x:c>
      <x:c r="C42" s="4" t="s">
        <x:v>261</x:v>
      </x:c>
      <x:c r="D42" s="4" t="s">
        <x:v>262</x:v>
      </x:c>
      <x:c r="E42" s="4" t="s">
        <x:v>62</x:v>
      </x:c>
      <x:c r="F42" s="4" t="s">
        <x:v>21</x:v>
      </x:c>
      <x:c r="G42" s="4" t="s">
        <x:v>263</x:v>
      </x:c>
      <x:c r="H42" s="4" t="s">
        <x:v>264</x:v>
      </x:c>
      <x:c r="I42" s="4" t="s">
        <x:v>265</x:v>
      </x:c>
      <x:c r="J42" s="4"/>
      <x:c r="K42" s="4"/>
      <x:c r="L42" s="4" t="inlineStr">
        <x:is>
          <x:t>Done</x:t>
        </x:is>
      </x:c>
      <x:c r="M42" s="5">
        <x:f t="shared" si="1">IF(L42="Done",1,IF(L42="In Progress",0.5,IF(L42="Blocked",0.25,0)))</x:f>
        <x:v>1</x:v>
      </x:c>
    </x:row>
    <x:row r="43">
      <x:c r="A43" s="4" t="s">
        <x:v>266</x:v>
      </x:c>
      <x:c r="B43" s="4" t="s">
        <x:v>30</x:v>
      </x:c>
      <x:c r="C43" s="4" t="s">
        <x:v>267</x:v>
      </x:c>
      <x:c r="D43" s="4" t="s">
        <x:v>268</x:v>
      </x:c>
      <x:c r="E43" s="4" t="s">
        <x:v>62</x:v>
      </x:c>
      <x:c r="F43" s="4" t="s">
        <x:v>21</x:v>
      </x:c>
      <x:c r="G43" s="4" t="s">
        <x:v>119</x:v>
      </x:c>
      <x:c r="H43" s="4" t="s">
        <x:v>269</x:v>
      </x:c>
      <x:c r="I43" s="4" t="s">
        <x:v>270</x:v>
      </x:c>
      <x:c r="J43" s="4"/>
      <x:c r="K43" s="4"/>
      <x:c r="L43" s="4" t="str">
        <x:v>Done</x:v>
      </x:c>
      <x:c r="M43" s="5">
        <x:f t="shared" si="1">IF(L43="Done",1,IF(L43="In Progress",0.5,IF(L43="Blocked",0.25,0)))</x:f>
        <x:v>1</x:v>
      </x:c>
    </x:row>
    <x:row r="44" ht="15">
      <x:c r="A44" s="4" t="s">
        <x:v>271</x:v>
      </x:c>
      <x:c r="B44" s="4" t="s">
        <x:v>30</x:v>
      </x:c>
      <x:c r="C44" s="4" t="s">
        <x:v>272</x:v>
      </x:c>
      <x:c r="D44" s="4" t="s">
        <x:v>273</x:v>
      </x:c>
      <x:c r="E44" s="4" t="s">
        <x:v>62</x:v>
      </x:c>
      <x:c r="F44" s="4" t="s">
        <x:v>19</x:v>
      </x:c>
      <x:c r="G44" s="4" t="s">
        <x:v>274</x:v>
      </x:c>
      <x:c r="H44" s="4" t="s">
        <x:v>275</x:v>
      </x:c>
      <x:c r="I44" s="4" t="s">
        <x:v>276</x:v>
      </x:c>
      <x:c r="J44" s="4"/>
      <x:c r="K44" s="4"/>
      <x:c r="L44" s="4" t="str">
        <x:v>Done</x:v>
      </x:c>
      <x:c r="M44" s="5">
        <x:f t="shared" si="1">IF(L44="Done",1,IF(L44="In Progress",0.5,IF(L44="Blocked",0.25,0)))</x:f>
        <x:v>1</x:v>
      </x:c>
    </x:row>
    <x:row r="45" ht="28.5">
      <x:c r="A45" s="4" t="s">
        <x:v>277</x:v>
      </x:c>
      <x:c r="B45" s="4" t="s">
        <x:v>30</x:v>
      </x:c>
      <x:c r="C45" s="4" t="s">
        <x:v>278</x:v>
      </x:c>
      <x:c r="D45" s="4" t="s">
        <x:v>279</x:v>
      </x:c>
      <x:c r="E45" s="4" t="s">
        <x:v>62</x:v>
      </x:c>
      <x:c r="F45" s="4" t="s">
        <x:v>19</x:v>
      </x:c>
      <x:c r="G45" s="4" t="s">
        <x:v>280</x:v>
      </x:c>
      <x:c r="H45" s="4" t="s">
        <x:v>281</x:v>
      </x:c>
      <x:c r="I45" s="4" t="s">
        <x:v>282</x:v>
      </x:c>
      <x:c r="J45" s="4"/>
      <x:c r="K45" s="4"/>
      <x:c r="L45" s="4" t="str">
        <x:v>Done</x:v>
      </x:c>
      <x:c r="M45" s="5">
        <x:f t="shared" si="1">IF(L45="Done",1,IF(L45="In Progress",0.5,IF(L45="Blocked",0.25,0)))</x:f>
        <x:v>1</x:v>
      </x:c>
    </x:row>
    <x:row r="46" ht="15">
      <x:c r="A46" s="4" t="s">
        <x:v>283</x:v>
      </x:c>
      <x:c r="B46" s="4" t="s">
        <x:v>30</x:v>
      </x:c>
      <x:c r="C46" s="4" t="s">
        <x:v>284</x:v>
      </x:c>
      <x:c r="D46" s="4" t="s">
        <x:v>285</x:v>
      </x:c>
      <x:c r="E46" s="4" t="s">
        <x:v>62</x:v>
      </x:c>
      <x:c r="F46" s="4" t="s">
        <x:v>19</x:v>
      </x:c>
      <x:c r="G46" s="4" t="s">
        <x:v>286</x:v>
      </x:c>
      <x:c r="H46" s="4" t="s">
        <x:v>287</x:v>
      </x:c>
      <x:c r="I46" s="4" t="s">
        <x:v>288</x:v>
      </x:c>
      <x:c r="J46" s="4"/>
      <x:c r="K46" s="4"/>
      <x:c r="L46" s="4" t="str">
        <x:v>Done</x:v>
      </x:c>
      <x:c r="M46" s="5">
        <x:f t="shared" si="1">IF(L46="Done",1,IF(L46="In Progress",0.5,IF(L46="Blocked",0.25,0)))</x:f>
        <x:v>1</x:v>
      </x:c>
    </x:row>
    <x:row r="47" ht="15">
      <x:c r="A47" s="4" t="s">
        <x:v>289</x:v>
      </x:c>
      <x:c r="B47" s="4" t="s">
        <x:v>30</x:v>
      </x:c>
      <x:c r="C47" s="4" t="s">
        <x:v>290</x:v>
      </x:c>
      <x:c r="D47" s="4" t="s">
        <x:v>291</x:v>
      </x:c>
      <x:c r="E47" s="4" t="s">
        <x:v>62</x:v>
      </x:c>
      <x:c r="F47" s="4" t="s">
        <x:v>19</x:v>
      </x:c>
      <x:c r="G47" s="4" t="s">
        <x:v>292</x:v>
      </x:c>
      <x:c r="H47" s="4" t="s">
        <x:v>293</x:v>
      </x:c>
      <x:c r="I47" s="4" t="s">
        <x:v>294</x:v>
      </x:c>
      <x:c r="J47" s="4"/>
      <x:c r="K47" s="4"/>
      <x:c r="L47" s="4" t="str">
        <x:v>Done</x:v>
      </x:c>
      <x:c r="M47" s="5">
        <x:f t="shared" si="1">IF(L47="Done",1,IF(L47="In Progress",0.5,IF(L47="Blocked",0.25,0)))</x:f>
        <x:v>1</x:v>
      </x:c>
    </x:row>
    <x:row r="48" ht="15">
      <x:c r="A48" s="4" t="s">
        <x:v>295</x:v>
      </x:c>
      <x:c r="B48" s="4" t="s">
        <x:v>30</x:v>
      </x:c>
      <x:c r="C48" s="4" t="s">
        <x:v>296</x:v>
      </x:c>
      <x:c r="D48" s="4" t="s">
        <x:v>297</x:v>
      </x:c>
      <x:c r="E48" s="4" t="s">
        <x:v>62</x:v>
      </x:c>
      <x:c r="F48" s="4" t="s">
        <x:v>19</x:v>
      </x:c>
      <x:c r="G48" s="4" t="s">
        <x:v>298</x:v>
      </x:c>
      <x:c r="H48" s="4" t="s">
        <x:v>299</x:v>
      </x:c>
      <x:c r="I48" s="4" t="s">
        <x:v>300</x:v>
      </x:c>
      <x:c r="J48" s="4"/>
      <x:c r="K48" s="4"/>
      <x:c r="L48" s="4" t="str">
        <x:v>Done</x:v>
      </x:c>
      <x:c r="M48" s="5">
        <x:f t="shared" si="1">IF(L48="Done",1,IF(L48="In Progress",0.5,IF(L48="Blocked",0.25,0)))</x:f>
        <x:v>1</x:v>
      </x:c>
    </x:row>
    <x:row r="49" ht="28.5">
      <x:c r="A49" s="4" t="s">
        <x:v>301</x:v>
      </x:c>
      <x:c r="B49" s="4" t="s">
        <x:v>30</x:v>
      </x:c>
      <x:c r="C49" s="4" t="s">
        <x:v>302</x:v>
      </x:c>
      <x:c r="D49" s="4" t="s">
        <x:v>303</x:v>
      </x:c>
      <x:c r="E49" s="4" t="s">
        <x:v>62</x:v>
      </x:c>
      <x:c r="F49" s="4" t="s">
        <x:v>19</x:v>
      </x:c>
      <x:c r="G49" s="4" t="s">
        <x:v>304</x:v>
      </x:c>
      <x:c r="H49" s="4" t="s">
        <x:v>302</x:v>
      </x:c>
      <x:c r="I49" s="4" t="s">
        <x:v>305</x:v>
      </x:c>
      <x:c r="J49" s="4"/>
      <x:c r="K49" s="4"/>
      <x:c r="L49" s="4" t="str">
        <x:v>Done</x:v>
      </x:c>
      <x:c r="M49" s="5">
        <x:f t="shared" si="1">IF(L49="Done",1,IF(L49="In Progress",0.5,IF(L49="Blocked",0.25,0)))</x:f>
        <x:v>1</x:v>
      </x:c>
    </x:row>
    <x:row r="50" ht="15">
      <x:c r="A50" s="4" t="s">
        <x:v>306</x:v>
      </x:c>
      <x:c r="B50" s="4" t="s">
        <x:v>30</x:v>
      </x:c>
      <x:c r="C50" s="4" t="s">
        <x:v>307</x:v>
      </x:c>
      <x:c r="D50" s="4" t="s">
        <x:v>308</x:v>
      </x:c>
      <x:c r="E50" s="4" t="s">
        <x:v>62</x:v>
      </x:c>
      <x:c r="F50" s="4" t="s">
        <x:v>19</x:v>
      </x:c>
      <x:c r="G50" s="4" t="s">
        <x:v>301</x:v>
      </x:c>
      <x:c r="H50" s="4" t="s">
        <x:v>309</x:v>
      </x:c>
      <x:c r="I50" s="4" t="s">
        <x:v>310</x:v>
      </x:c>
      <x:c r="J50" s="4"/>
      <x:c r="K50" s="4"/>
      <x:c r="L50" s="4" t="str">
        <x:v>Done</x:v>
      </x:c>
      <x:c r="M50" s="5">
        <x:f t="shared" si="1">IF(L50="Done",1,IF(L50="In Progress",0.5,IF(L50="Blocked",0.25,0)))</x:f>
        <x:v>1</x:v>
      </x:c>
    </x:row>
    <x:row r="51">
      <x:c r="A51" s="4" t="s">
        <x:v>311</x:v>
      </x:c>
      <x:c r="B51" s="4" t="s">
        <x:v>30</x:v>
      </x:c>
      <x:c r="C51" s="4" t="s">
        <x:v>312</x:v>
      </x:c>
      <x:c r="D51" s="4" t="s">
        <x:v>313</x:v>
      </x:c>
      <x:c r="E51" s="4" t="s">
        <x:v>62</x:v>
      </x:c>
      <x:c r="F51" s="4" t="s">
        <x:v>21</x:v>
      </x:c>
      <x:c r="G51" s="4" t="s">
        <x:v>314</x:v>
      </x:c>
      <x:c r="H51" s="4" t="s">
        <x:v>312</x:v>
      </x:c>
      <x:c r="I51" s="4" t="s">
        <x:v>315</x:v>
      </x:c>
      <x:c r="J51" s="4"/>
      <x:c r="K51" s="4"/>
      <x:c r="L51" s="4" t="str">
        <x:v>Done</x:v>
      </x:c>
      <x:c r="M51" s="5">
        <x:f t="shared" si="1">IF(L51="Done",1,IF(L51="In Progress",0.5,IF(L51="Blocked",0.25,0)))</x:f>
        <x:v>1</x:v>
      </x:c>
    </x:row>
    <x:row r="52" ht="15">
      <x:c r="A52" s="4" t="s">
        <x:v>316</x:v>
      </x:c>
      <x:c r="B52" s="4" t="s">
        <x:v>30</x:v>
      </x:c>
      <x:c r="C52" s="4" t="s">
        <x:v>317</x:v>
      </x:c>
      <x:c r="D52" s="4" t="s">
        <x:v>318</x:v>
      </x:c>
      <x:c r="E52" s="4" t="s">
        <x:v>62</x:v>
      </x:c>
      <x:c r="F52" s="4" t="s">
        <x:v>19</x:v>
      </x:c>
      <x:c r="G52" s="4" t="s">
        <x:v>319</x:v>
      </x:c>
      <x:c r="H52" s="4" t="s">
        <x:v>320</x:v>
      </x:c>
      <x:c r="I52" s="4" t="s">
        <x:v>321</x:v>
      </x:c>
      <x:c r="J52" s="4"/>
      <x:c r="K52" s="4"/>
      <x:c r="L52" s="4" t="str">
        <x:v>Done</x:v>
      </x:c>
      <x:c r="M52" s="5">
        <x:f t="shared" si="1">IF(L52="Done",1,IF(L52="In Progress",0.5,IF(L52="Blocked",0.25,0)))</x:f>
        <x:v>1</x:v>
      </x:c>
    </x:row>
    <x:row r="53" ht="28.5">
      <x:c r="A53" s="4" t="s">
        <x:v>322</x:v>
      </x:c>
      <x:c r="B53" s="4" t="s">
        <x:v>32</x:v>
      </x:c>
      <x:c r="C53" s="4" t="s">
        <x:v>323</x:v>
      </x:c>
      <x:c r="D53" s="4" t="s">
        <x:v>324</x:v>
      </x:c>
      <x:c r="E53" s="4" t="s">
        <x:v>68</x:v>
      </x:c>
      <x:c r="F53" s="4" t="s">
        <x:v>21</x:v>
      </x:c>
      <x:c r="G53" s="4" t="s">
        <x:v>77</x:v>
      </x:c>
      <x:c r="H53" s="4" t="s">
        <x:v>325</x:v>
      </x:c>
      <x:c r="I53" s="4" t="s">
        <x:v>326</x:v>
      </x:c>
      <x:c r="J53" s="4"/>
      <x:c r="K53" s="4"/>
      <x:c r="L53" s="4" t="str">
        <x:v>Done</x:v>
      </x:c>
      <x:c r="M53" s="5">
        <x:f t="shared" si="1">IF(L53="Done",1,IF(L53="In Progress",0.5,IF(L53="Blocked",0.25,0)))</x:f>
        <x:v>1</x:v>
      </x:c>
    </x:row>
    <x:row r="54" ht="28.5">
      <x:c r="A54" s="4" t="s">
        <x:v>327</x:v>
      </x:c>
      <x:c r="B54" s="4" t="s">
        <x:v>32</x:v>
      </x:c>
      <x:c r="C54" s="4" t="s">
        <x:v>328</x:v>
      </x:c>
      <x:c r="D54" s="4" t="s">
        <x:v>329</x:v>
      </x:c>
      <x:c r="E54" s="4" t="s">
        <x:v>330</x:v>
      </x:c>
      <x:c r="F54" s="4" t="s">
        <x:v>21</x:v>
      </x:c>
      <x:c r="G54" s="4" t="s">
        <x:v>331</x:v>
      </x:c>
      <x:c r="H54" s="4" t="s">
        <x:v>332</x:v>
      </x:c>
      <x:c r="I54" s="4" t="s">
        <x:v>333</x:v>
      </x:c>
      <x:c r="J54" s="4"/>
      <x:c r="K54" s="4"/>
      <x:c r="L54" s="4" t="str">
        <x:v>Done</x:v>
      </x:c>
      <x:c r="M54" s="5">
        <x:f t="shared" si="1">IF(L54="Done",1,IF(L54="In Progress",0.5,IF(L54="Blocked",0.25,0)))</x:f>
        <x:v>1</x:v>
      </x:c>
    </x:row>
    <x:row r="55" ht="15">
      <x:c r="A55" s="4" t="s">
        <x:v>334</x:v>
      </x:c>
      <x:c r="B55" s="4" t="s">
        <x:v>32</x:v>
      </x:c>
      <x:c r="C55" s="4" t="s">
        <x:v>335</x:v>
      </x:c>
      <x:c r="D55" s="4" t="s">
        <x:v>336</x:v>
      </x:c>
      <x:c r="E55" s="4" t="s">
        <x:v>330</x:v>
      </x:c>
      <x:c r="F55" s="4" t="s">
        <x:v>19</x:v>
      </x:c>
      <x:c r="G55" s="4" t="s">
        <x:v>337</x:v>
      </x:c>
      <x:c r="H55" s="4" t="s">
        <x:v>338</x:v>
      </x:c>
      <x:c r="I55" s="4" t="s">
        <x:v>339</x:v>
      </x:c>
      <x:c r="J55" s="4"/>
      <x:c r="K55" s="4"/>
      <x:c r="L55" s="4" t="str">
        <x:v>Done</x:v>
      </x:c>
      <x:c r="M55" s="5">
        <x:f t="shared" si="1">IF(L55="Done",1,IF(L55="In Progress",0.5,IF(L55="Blocked",0.25,0)))</x:f>
        <x:v>1</x:v>
      </x:c>
    </x:row>
    <x:row r="56" ht="28.5">
      <x:c r="A56" s="4" t="s">
        <x:v>340</x:v>
      </x:c>
      <x:c r="B56" s="4" t="s">
        <x:v>32</x:v>
      </x:c>
      <x:c r="C56" s="4" t="s">
        <x:v>341</x:v>
      </x:c>
      <x:c r="D56" s="4" t="s">
        <x:v>342</x:v>
      </x:c>
      <x:c r="E56" s="4" t="s">
        <x:v>330</x:v>
      </x:c>
      <x:c r="F56" s="4" t="s">
        <x:v>19</x:v>
      </x:c>
      <x:c r="G56" s="4" t="s">
        <x:v>343</x:v>
      </x:c>
      <x:c r="H56" s="4" t="s">
        <x:v>344</x:v>
      </x:c>
      <x:c r="I56" s="4" t="s">
        <x:v>345</x:v>
      </x:c>
      <x:c r="J56" s="4"/>
      <x:c r="K56" s="4"/>
      <x:c r="L56" s="4" t="str">
        <x:v>Done</x:v>
      </x:c>
      <x:c r="M56" s="5">
        <x:f t="shared" si="1">IF(L56="Done",1,IF(L56="In Progress",0.5,IF(L56="Blocked",0.25,0)))</x:f>
        <x:v>1</x:v>
      </x:c>
    </x:row>
    <x:row r="57" ht="15">
      <x:c r="A57" s="4" t="s">
        <x:v>346</x:v>
      </x:c>
      <x:c r="B57" s="4" t="s">
        <x:v>32</x:v>
      </x:c>
      <x:c r="C57" s="4" t="s">
        <x:v>347</x:v>
      </x:c>
      <x:c r="D57" s="4" t="s">
        <x:v>348</x:v>
      </x:c>
      <x:c r="E57" s="4" t="s">
        <x:v>330</x:v>
      </x:c>
      <x:c r="F57" s="4" t="s">
        <x:v>19</x:v>
      </x:c>
      <x:c r="G57" s="4" t="s">
        <x:v>343</x:v>
      </x:c>
      <x:c r="H57" s="4" t="s">
        <x:v>349</x:v>
      </x:c>
      <x:c r="I57" s="4" t="s">
        <x:v>350</x:v>
      </x:c>
      <x:c r="J57" s="4"/>
      <x:c r="K57" s="4"/>
      <x:c r="L57" s="4" t="str">
        <x:v>Done</x:v>
      </x:c>
      <x:c r="M57" s="5">
        <x:f t="shared" si="1">IF(L57="Done",1,IF(L57="In Progress",0.5,IF(L57="Blocked",0.25,0)))</x:f>
        <x:v>1</x:v>
      </x:c>
    </x:row>
    <x:row r="58" ht="28.5">
      <x:c r="A58" s="4" t="s">
        <x:v>351</x:v>
      </x:c>
      <x:c r="B58" s="4" t="s">
        <x:v>32</x:v>
      </x:c>
      <x:c r="C58" s="4" t="s">
        <x:v>352</x:v>
      </x:c>
      <x:c r="D58" s="4" t="s">
        <x:v>353</x:v>
      </x:c>
      <x:c r="E58" s="4" t="s">
        <x:v>330</x:v>
      </x:c>
      <x:c r="F58" s="4" t="s">
        <x:v>19</x:v>
      </x:c>
      <x:c r="G58" s="4" t="s">
        <x:v>354</x:v>
      </x:c>
      <x:c r="H58" s="4" t="s">
        <x:v>355</x:v>
      </x:c>
      <x:c r="I58" s="4" t="s">
        <x:v>356</x:v>
      </x:c>
      <x:c r="J58" s="4"/>
      <x:c r="K58" s="4"/>
      <x:c r="L58" s="4" t="str">
        <x:v>Done</x:v>
      </x:c>
      <x:c r="M58" s="5">
        <x:f t="shared" si="1">IF(L58="Done",1,IF(L58="In Progress",0.5,IF(L58="Blocked",0.25,0)))</x:f>
        <x:v>1</x:v>
      </x:c>
    </x:row>
    <x:row r="59">
      <x:c r="A59" s="4" t="s">
        <x:v>357</x:v>
      </x:c>
      <x:c r="B59" s="4" t="s">
        <x:v>32</x:v>
      </x:c>
      <x:c r="C59" s="4" t="s">
        <x:v>358</x:v>
      </x:c>
      <x:c r="D59" s="4" t="s">
        <x:v>359</x:v>
      </x:c>
      <x:c r="E59" s="4" t="s">
        <x:v>68</x:v>
      </x:c>
      <x:c r="F59" s="4" t="s">
        <x:v>21</x:v>
      </x:c>
      <x:c r="G59" s="4" t="s">
        <x:v>360</x:v>
      </x:c>
      <x:c r="H59" s="4" t="s">
        <x:v>361</x:v>
      </x:c>
      <x:c r="I59" s="4" t="s">
        <x:v>362</x:v>
      </x:c>
      <x:c r="J59" s="4"/>
      <x:c r="K59" s="4"/>
      <x:c r="L59" s="4" t="str">
        <x:v>Done</x:v>
      </x:c>
      <x:c r="M59" s="5">
        <x:f t="shared" si="1">IF(L59="Done",1,IF(L59="In Progress",0.5,IF(L59="Blocked",0.25,0)))</x:f>
        <x:v>1</x:v>
      </x:c>
    </x:row>
    <x:row r="60" ht="28.5">
      <x:c r="A60" s="4" t="s">
        <x:v>363</x:v>
      </x:c>
      <x:c r="B60" s="4" t="s">
        <x:v>32</x:v>
      </x:c>
      <x:c r="C60" s="4" t="s">
        <x:v>364</x:v>
      </x:c>
      <x:c r="D60" s="4" t="s">
        <x:v>365</x:v>
      </x:c>
      <x:c r="E60" s="4" t="s">
        <x:v>68</x:v>
      </x:c>
      <x:c r="F60" s="4" t="s">
        <x:v>21</x:v>
      </x:c>
      <x:c r="G60" s="4" t="s">
        <x:v>360</x:v>
      </x:c>
      <x:c r="H60" s="4" t="s">
        <x:v>366</x:v>
      </x:c>
      <x:c r="I60" s="4" t="s">
        <x:v>367</x:v>
      </x:c>
      <x:c r="J60" s="4"/>
      <x:c r="K60" s="4"/>
      <x:c r="L60" s="4" t="str">
        <x:v>Done</x:v>
      </x:c>
      <x:c r="M60" s="5">
        <x:f t="shared" si="1">IF(L60="Done",1,IF(L60="In Progress",0.5,IF(L60="Blocked",0.25,0)))</x:f>
        <x:v>1</x:v>
      </x:c>
    </x:row>
    <x:row r="61" ht="28.5">
      <x:c r="A61" s="4" t="s">
        <x:v>368</x:v>
      </x:c>
      <x:c r="B61" s="4" t="s">
        <x:v>34</x:v>
      </x:c>
      <x:c r="C61" s="4" t="s">
        <x:v>369</x:v>
      </x:c>
      <x:c r="D61" s="4" t="s">
        <x:v>370</x:v>
      </x:c>
      <x:c r="E61" s="4" t="s">
        <x:v>62</x:v>
      </x:c>
      <x:c r="F61" s="4" t="s">
        <x:v>19</x:v>
      </x:c>
      <x:c r="G61" s="4" t="s">
        <x:v>189</x:v>
      </x:c>
      <x:c r="H61" s="4" t="s">
        <x:v>371</x:v>
      </x:c>
      <x:c r="I61" s="4" t="s">
        <x:v>372</x:v>
      </x:c>
      <x:c r="J61" s="4"/>
      <x:c r="K61" s="4"/>
      <x:c r="L61" s="4" t="str">
        <x:v>Done</x:v>
      </x:c>
      <x:c r="M61" s="5">
        <x:f t="shared" si="1">IF(L61="Done",1,IF(L61="In Progress",0.5,IF(L61="Blocked",0.25,0)))</x:f>
        <x:v>1</x:v>
      </x:c>
    </x:row>
    <x:row r="62" ht="28.5">
      <x:c r="A62" s="4" t="s">
        <x:v>373</x:v>
      </x:c>
      <x:c r="B62" s="4" t="s">
        <x:v>34</x:v>
      </x:c>
      <x:c r="C62" s="4" t="s">
        <x:v>374</x:v>
      </x:c>
      <x:c r="D62" s="4" t="s">
        <x:v>375</x:v>
      </x:c>
      <x:c r="E62" s="4" t="s">
        <x:v>62</x:v>
      </x:c>
      <x:c r="F62" s="4" t="s">
        <x:v>19</x:v>
      </x:c>
      <x:c r="G62" s="4" t="s">
        <x:v>376</x:v>
      </x:c>
      <x:c r="H62" s="4" t="s">
        <x:v>377</x:v>
      </x:c>
      <x:c r="I62" s="4" t="s">
        <x:v>378</x:v>
      </x:c>
      <x:c r="J62" s="4"/>
      <x:c r="K62" s="4"/>
      <x:c r="L62" s="4" t="inlineStr">
        <x:is>
          <x:t>Done</x:t>
        </x:is>
      </x:c>
      <x:c r="M62" s="5">
        <x:f t="shared" si="1">IF(L62="Done",1,IF(L62="In Progress",0.5,IF(L62="Blocked",0.25,0)))</x:f>
        <x:v>1</x:v>
      </x:c>
    </x:row>
    <x:row r="63" ht="28.5">
      <x:c r="A63" s="4" t="s">
        <x:v>379</x:v>
      </x:c>
      <x:c r="B63" s="4" t="s">
        <x:v>34</x:v>
      </x:c>
      <x:c r="C63" s="4" t="s">
        <x:v>380</x:v>
      </x:c>
      <x:c r="D63" s="4" t="s">
        <x:v>381</x:v>
      </x:c>
      <x:c r="E63" s="4" t="s">
        <x:v>224</x:v>
      </x:c>
      <x:c r="F63" s="4" t="s">
        <x:v>19</x:v>
      </x:c>
      <x:c r="G63" s="4" t="s">
        <x:v>260</x:v>
      </x:c>
      <x:c r="H63" s="4" t="s">
        <x:v>382</x:v>
      </x:c>
      <x:c r="I63" s="4" t="s">
        <x:v>383</x:v>
      </x:c>
      <x:c r="J63" s="4"/>
      <x:c r="K63" s="4"/>
      <x:c r="L63" s="4" t="inlineStr">
        <x:is>
          <x:t>Done</x:t>
        </x:is>
      </x:c>
      <x:c r="M63" s="5">
        <x:f t="shared" si="1">IF(L63="Done",1,IF(L63="In Progress",0.5,IF(L63="Blocked",0.25,0)))</x:f>
        <x:v>1</x:v>
      </x:c>
    </x:row>
    <x:row r="64">
      <x:c r="A64" s="4" t="s">
        <x:v>384</x:v>
      </x:c>
      <x:c r="B64" s="4" t="s">
        <x:v>34</x:v>
      </x:c>
      <x:c r="C64" s="4" t="s">
        <x:v>385</x:v>
      </x:c>
      <x:c r="D64" s="4" t="s">
        <x:v>386</x:v>
      </x:c>
      <x:c r="E64" s="4" t="s">
        <x:v>62</x:v>
      </x:c>
      <x:c r="F64" s="4" t="s">
        <x:v>21</x:v>
      </x:c>
      <x:c r="G64" s="4" t="s">
        <x:v>316</x:v>
      </x:c>
      <x:c r="H64" s="4" t="s">
        <x:v>387</x:v>
      </x:c>
      <x:c r="I64" s="4" t="s">
        <x:v>388</x:v>
      </x:c>
      <x:c r="J64" s="4"/>
      <x:c r="K64" s="4"/>
      <x:c r="L64" s="4" t="inlineStr">
        <x:is>
          <x:t>Done</x:t>
        </x:is>
      </x:c>
      <x:c r="M64" s="5">
        <x:f t="shared" si="1">IF(L64="Done",1,IF(L64="In Progress",0.5,IF(L64="Blocked",0.25,0)))</x:f>
        <x:v>1</x:v>
      </x:c>
    </x:row>
    <x:row r="65" ht="28.5">
      <x:c r="A65" s="4" t="s">
        <x:v>389</x:v>
      </x:c>
      <x:c r="B65" s="4" t="s">
        <x:v>34</x:v>
      </x:c>
      <x:c r="C65" s="4" t="s">
        <x:v>390</x:v>
      </x:c>
      <x:c r="D65" s="4" t="s">
        <x:v>391</x:v>
      </x:c>
      <x:c r="E65" s="4" t="s">
        <x:v>392</x:v>
      </x:c>
      <x:c r="F65" s="4" t="s">
        <x:v>19</x:v>
      </x:c>
      <x:c r="G65" s="4" t="s">
        <x:v>393</x:v>
      </x:c>
      <x:c r="H65" s="4" t="s">
        <x:v>394</x:v>
      </x:c>
      <x:c r="I65" s="4" t="s">
        <x:v>395</x:v>
      </x:c>
      <x:c r="J65" s="4"/>
      <x:c r="K65" s="4"/>
      <x:c r="L65" s="4" t="inlineStr">
        <x:is>
          <x:t>Done</x:t>
        </x:is>
      </x:c>
      <x:c r="M65" s="5">
        <x:f t="shared" si="1">IF(L65="Done",1,IF(L65="In Progress",0.5,IF(L65="Blocked",0.25,0)))</x:f>
        <x:v>1</x:v>
      </x:c>
    </x:row>
    <x:row r="66" ht="15">
      <x:c r="A66" s="4" t="s">
        <x:v>396</x:v>
      </x:c>
      <x:c r="B66" s="4" t="s">
        <x:v>34</x:v>
      </x:c>
      <x:c r="C66" s="4" t="s">
        <x:v>397</x:v>
      </x:c>
      <x:c r="D66" s="4" t="s">
        <x:v>398</x:v>
      </x:c>
      <x:c r="E66" s="4" t="s">
        <x:v>392</x:v>
      </x:c>
      <x:c r="F66" s="4" t="s">
        <x:v>19</x:v>
      </x:c>
      <x:c r="G66" s="4" t="s">
        <x:v>399</x:v>
      </x:c>
      <x:c r="H66" s="4" t="s">
        <x:v>400</x:v>
      </x:c>
      <x:c r="I66" s="4" t="s">
        <x:v>401</x:v>
      </x:c>
      <x:c r="J66" s="4"/>
      <x:c r="K66" s="4"/>
      <x:c r="L66" s="4" t="inlineStr">
        <x:is>
          <x:t>Done</x:t>
        </x:is>
      </x:c>
      <x:c r="M66" s="5">
        <x:f t="shared" si="1">IF(L66="Done",1,IF(L66="In Progress",0.5,IF(L66="Blocked",0.25,0)))</x:f>
        <x:v>1</x:v>
      </x:c>
    </x:row>
    <x:row r="67" ht="28.5">
      <x:c r="A67" s="4" t="s">
        <x:v>402</x:v>
      </x:c>
      <x:c r="B67" s="4" t="s">
        <x:v>36</x:v>
      </x:c>
      <x:c r="C67" s="4" t="s">
        <x:v>403</x:v>
      </x:c>
      <x:c r="D67" s="4" t="s">
        <x:v>404</x:v>
      </x:c>
      <x:c r="E67" s="4" t="s">
        <x:v>56</x:v>
      </x:c>
      <x:c r="F67" s="4" t="s">
        <x:v>19</x:v>
      </x:c>
      <x:c r="G67" s="4" t="s">
        <x:v>389</x:v>
      </x:c>
      <x:c r="H67" s="4" t="s">
        <x:v>405</x:v>
      </x:c>
      <x:c r="I67" s="4" t="s">
        <x:v>406</x:v>
      </x:c>
      <x:c r="J67" s="4"/>
      <x:c r="K67" s="4"/>
      <x:c r="L67" s="4" t="str">
        <x:v>Not Started</x:v>
      </x:c>
      <x:c r="M67" s="5">
        <x:f t="shared" si="1">IF(L67="Done",1,IF(L67="In Progress",0.5,IF(L67="Blocked",0.25,0)))</x:f>
        <x:v>0</x:v>
      </x:c>
    </x:row>
    <x:row r="68" ht="28.5">
      <x:c r="A68" s="4" t="s">
        <x:v>407</x:v>
      </x:c>
      <x:c r="B68" s="4" t="s">
        <x:v>36</x:v>
      </x:c>
      <x:c r="C68" s="4" t="s">
        <x:v>408</x:v>
      </x:c>
      <x:c r="D68" s="4" t="s">
        <x:v>409</x:v>
      </x:c>
      <x:c r="E68" s="4" t="s">
        <x:v>56</x:v>
      </x:c>
      <x:c r="F68" s="4" t="s">
        <x:v>19</x:v>
      </x:c>
      <x:c r="G68" s="4" t="s">
        <x:v>389</x:v>
      </x:c>
      <x:c r="H68" s="4" t="s">
        <x:v>410</x:v>
      </x:c>
      <x:c r="I68" s="4" t="s">
        <x:v>411</x:v>
      </x:c>
      <x:c r="J68" s="4"/>
      <x:c r="K68" s="4"/>
      <x:c r="L68" s="4" t="str">
        <x:v>Not Started</x:v>
      </x:c>
      <x:c r="M68" s="5">
        <x:f t="shared" ref="M68:M79" si="2">IF(L68="Done",1,IF(L68="In Progress",0.5,IF(L68="Blocked",0.25,0)))</x:f>
        <x:v>0</x:v>
      </x:c>
    </x:row>
    <x:row r="69" ht="28.5">
      <x:c r="A69" s="4" t="s">
        <x:v>412</x:v>
      </x:c>
      <x:c r="B69" s="4" t="s">
        <x:v>36</x:v>
      </x:c>
      <x:c r="C69" s="4" t="s">
        <x:v>413</x:v>
      </x:c>
      <x:c r="D69" s="4" t="s">
        <x:v>414</x:v>
      </x:c>
      <x:c r="E69" s="4" t="s">
        <x:v>56</x:v>
      </x:c>
      <x:c r="F69" s="4" t="s">
        <x:v>19</x:v>
      </x:c>
      <x:c r="G69" s="4" t="s">
        <x:v>389</x:v>
      </x:c>
      <x:c r="H69" s="4" t="s">
        <x:v>415</x:v>
      </x:c>
      <x:c r="I69" s="4" t="s">
        <x:v>416</x:v>
      </x:c>
      <x:c r="J69" s="4"/>
      <x:c r="K69" s="4"/>
      <x:c r="L69" s="4" t="str">
        <x:v>Not Started</x:v>
      </x:c>
      <x:c r="M69" s="5">
        <x:f t="shared" si="2">IF(L69="Done",1,IF(L69="In Progress",0.5,IF(L69="Blocked",0.25,0)))</x:f>
        <x:v>0</x:v>
      </x:c>
    </x:row>
    <x:row r="70" ht="28.5">
      <x:c r="A70" s="4" t="s">
        <x:v>417</x:v>
      </x:c>
      <x:c r="B70" s="4" t="s">
        <x:v>36</x:v>
      </x:c>
      <x:c r="C70" s="4" t="s">
        <x:v>418</x:v>
      </x:c>
      <x:c r="D70" s="4" t="s">
        <x:v>419</x:v>
      </x:c>
      <x:c r="E70" s="4" t="s">
        <x:v>56</x:v>
      </x:c>
      <x:c r="F70" s="4" t="s">
        <x:v>19</x:v>
      </x:c>
      <x:c r="G70" s="4" t="s">
        <x:v>389</x:v>
      </x:c>
      <x:c r="H70" s="4" t="s">
        <x:v>420</x:v>
      </x:c>
      <x:c r="I70" s="4" t="s">
        <x:v>421</x:v>
      </x:c>
      <x:c r="J70" s="4"/>
      <x:c r="K70" s="4"/>
      <x:c r="L70" s="4" t="str">
        <x:v>Not Started</x:v>
      </x:c>
      <x:c r="M70" s="5">
        <x:f t="shared" si="2">IF(L70="Done",1,IF(L70="In Progress",0.5,IF(L70="Blocked",0.25,0)))</x:f>
        <x:v>0</x:v>
      </x:c>
    </x:row>
    <x:row r="71" ht="28.5">
      <x:c r="A71" s="4" t="s">
        <x:v>422</x:v>
      </x:c>
      <x:c r="B71" s="4" t="s">
        <x:v>36</x:v>
      </x:c>
      <x:c r="C71" s="4" t="s">
        <x:v>423</x:v>
      </x:c>
      <x:c r="D71" s="4" t="s">
        <x:v>424</x:v>
      </x:c>
      <x:c r="E71" s="4" t="s">
        <x:v>56</x:v>
      </x:c>
      <x:c r="F71" s="4" t="s">
        <x:v>19</x:v>
      </x:c>
      <x:c r="G71" s="4" t="s">
        <x:v>389</x:v>
      </x:c>
      <x:c r="H71" s="4" t="s">
        <x:v>425</x:v>
      </x:c>
      <x:c r="I71" s="4" t="s">
        <x:v>426</x:v>
      </x:c>
      <x:c r="J71" s="4"/>
      <x:c r="K71" s="4"/>
      <x:c r="L71" s="4" t="str">
        <x:v>Not Started</x:v>
      </x:c>
      <x:c r="M71" s="5">
        <x:f t="shared" si="2">IF(L71="Done",1,IF(L71="In Progress",0.5,IF(L71="Blocked",0.25,0)))</x:f>
        <x:v>0</x:v>
      </x:c>
    </x:row>
    <x:row r="72" ht="28.5">
      <x:c r="A72" s="4" t="s">
        <x:v>427</x:v>
      </x:c>
      <x:c r="B72" s="4" t="s">
        <x:v>36</x:v>
      </x:c>
      <x:c r="C72" s="4" t="s">
        <x:v>428</x:v>
      </x:c>
      <x:c r="D72" s="4" t="s">
        <x:v>429</x:v>
      </x:c>
      <x:c r="E72" s="4" t="s">
        <x:v>56</x:v>
      </x:c>
      <x:c r="F72" s="4" t="s">
        <x:v>19</x:v>
      </x:c>
      <x:c r="G72" s="4" t="s">
        <x:v>389</x:v>
      </x:c>
      <x:c r="H72" s="4" t="s">
        <x:v>430</x:v>
      </x:c>
      <x:c r="I72" s="4" t="s">
        <x:v>431</x:v>
      </x:c>
      <x:c r="J72" s="4"/>
      <x:c r="K72" s="4"/>
      <x:c r="L72" s="4" t="str">
        <x:v>Not Started</x:v>
      </x:c>
      <x:c r="M72" s="5">
        <x:f t="shared" si="2">IF(L72="Done",1,IF(L72="In Progress",0.5,IF(L72="Blocked",0.25,0)))</x:f>
        <x:v>0</x:v>
      </x:c>
    </x:row>
    <x:row r="73" ht="28.5">
      <x:c r="A73" s="4" t="s">
        <x:v>432</x:v>
      </x:c>
      <x:c r="B73" s="4" t="s">
        <x:v>36</x:v>
      </x:c>
      <x:c r="C73" s="4" t="s">
        <x:v>433</x:v>
      </x:c>
      <x:c r="D73" s="4" t="s">
        <x:v>434</x:v>
      </x:c>
      <x:c r="E73" s="4" t="s">
        <x:v>392</x:v>
      </x:c>
      <x:c r="F73" s="4" t="s">
        <x:v>19</x:v>
      </x:c>
      <x:c r="G73" s="4" t="s">
        <x:v>389</x:v>
      </x:c>
      <x:c r="H73" s="4" t="s">
        <x:v>435</x:v>
      </x:c>
      <x:c r="I73" s="4" t="s">
        <x:v>436</x:v>
      </x:c>
      <x:c r="J73" s="4"/>
      <x:c r="K73" s="4"/>
      <x:c r="L73" s="4" t="str">
        <x:v>Not Started</x:v>
      </x:c>
      <x:c r="M73" s="5">
        <x:f t="shared" si="2">IF(L73="Done",1,IF(L73="In Progress",0.5,IF(L73="Blocked",0.25,0)))</x:f>
        <x:v>0</x:v>
      </x:c>
    </x:row>
    <x:row r="74" ht="42.75">
      <x:c r="A74" s="4" t="s">
        <x:v>437</x:v>
      </x:c>
      <x:c r="B74" s="4" t="s">
        <x:v>38</x:v>
      </x:c>
      <x:c r="C74" s="4" t="s">
        <x:v>438</x:v>
      </x:c>
      <x:c r="D74" s="4" t="s">
        <x:v>439</x:v>
      </x:c>
      <x:c r="E74" s="4" t="s">
        <x:v>224</x:v>
      </x:c>
      <x:c r="F74" s="4" t="s">
        <x:v>19</x:v>
      </x:c>
      <x:c r="G74" s="4" t="s">
        <x:v>440</x:v>
      </x:c>
      <x:c r="H74" s="4" t="s">
        <x:v>441</x:v>
      </x:c>
      <x:c r="I74" s="4" t="s">
        <x:v>442</x:v>
      </x:c>
      <x:c r="J74" s="4"/>
      <x:c r="K74" s="4"/>
      <x:c r="L74" s="4" t="str">
        <x:v>In Progress</x:v>
      </x:c>
      <x:c r="M74" s="5">
        <x:f t="shared" si="2">IF(L74="Done",1,IF(L74="In Progress",0.5,IF(L74="Blocked",0.25,0)))</x:f>
        <x:v>0.5</x:v>
      </x:c>
    </x:row>
    <x:row r="75" ht="28.5">
      <x:c r="A75" s="4" t="s">
        <x:v>443</x:v>
      </x:c>
      <x:c r="B75" s="4" t="s">
        <x:v>38</x:v>
      </x:c>
      <x:c r="C75" s="4" t="s">
        <x:v>444</x:v>
      </x:c>
      <x:c r="D75" s="4" t="s">
        <x:v>445</x:v>
      </x:c>
      <x:c r="E75" s="4" t="s">
        <x:v>80</x:v>
      </x:c>
      <x:c r="F75" s="4" t="s">
        <x:v>21</x:v>
      </x:c>
      <x:c r="G75" s="4" t="s">
        <x:v>389</x:v>
      </x:c>
      <x:c r="H75" s="4" t="s">
        <x:v>446</x:v>
      </x:c>
      <x:c r="I75" s="4" t="s">
        <x:v>447</x:v>
      </x:c>
      <x:c r="J75" s="4"/>
      <x:c r="K75" s="4"/>
      <x:c r="L75" s="4" t="str">
        <x:v>In Progress</x:v>
      </x:c>
      <x:c r="M75" s="5">
        <x:f t="shared" si="2">IF(L75="Done",1,IF(L75="In Progress",0.5,IF(L75="Blocked",0.25,0)))</x:f>
        <x:v>0.5</x:v>
      </x:c>
    </x:row>
    <x:row r="76" ht="15">
      <x:c r="A76" s="4" t="s">
        <x:v>448</x:v>
      </x:c>
      <x:c r="B76" s="4" t="s">
        <x:v>38</x:v>
      </x:c>
      <x:c r="C76" s="4" t="s">
        <x:v>449</x:v>
      </x:c>
      <x:c r="D76" s="4" t="s">
        <x:v>450</x:v>
      </x:c>
      <x:c r="E76" s="4" t="s">
        <x:v>80</x:v>
      </x:c>
      <x:c r="F76" s="4" t="s">
        <x:v>19</x:v>
      </x:c>
      <x:c r="G76" s="4" t="s">
        <x:v>432</x:v>
      </x:c>
      <x:c r="H76" s="4" t="s">
        <x:v>451</x:v>
      </x:c>
      <x:c r="I76" s="4" t="s">
        <x:v>452</x:v>
      </x:c>
      <x:c r="J76" s="4"/>
      <x:c r="K76" s="4"/>
      <x:c r="L76" s="4" t="str">
        <x:v>Not Started</x:v>
      </x:c>
      <x:c r="M76" s="5">
        <x:f t="shared" si="2">IF(L76="Done",1,IF(L76="In Progress",0.5,IF(L76="Blocked",0.25,0)))</x:f>
        <x:v>0</x:v>
      </x:c>
    </x:row>
    <x:row r="77" ht="15">
      <x:c r="A77" s="4" t="s">
        <x:v>453</x:v>
      </x:c>
      <x:c r="B77" s="4" t="s">
        <x:v>38</x:v>
      </x:c>
      <x:c r="C77" s="4" t="s">
        <x:v>454</x:v>
      </x:c>
      <x:c r="D77" s="4" t="s">
        <x:v>455</x:v>
      </x:c>
      <x:c r="E77" s="4" t="s">
        <x:v>392</x:v>
      </x:c>
      <x:c r="F77" s="4" t="s">
        <x:v>19</x:v>
      </x:c>
      <x:c r="G77" s="4" t="s">
        <x:v>396</x:v>
      </x:c>
      <x:c r="H77" s="4" t="s">
        <x:v>456</x:v>
      </x:c>
      <x:c r="I77" s="4" t="s">
        <x:v>457</x:v>
      </x:c>
      <x:c r="J77" s="4"/>
      <x:c r="K77" s="4"/>
      <x:c r="L77" s="4" t="inlineStr">
        <x:is>
          <x:t>Done</x:t>
        </x:is>
      </x:c>
      <x:c r="M77" s="5">
        <x:f t="shared" si="2">IF(L77="Done",1,IF(L77="In Progress",0.5,IF(L77="Blocked",0.25,0)))</x:f>
        <x:v>1</x:v>
      </x:c>
    </x:row>
    <x:row r="78">
      <x:c r="A78" s="4" t="s">
        <x:v>458</x:v>
      </x:c>
      <x:c r="B78" s="4" t="s">
        <x:v>38</x:v>
      </x:c>
      <x:c r="C78" s="4" t="s">
        <x:v>459</x:v>
      </x:c>
      <x:c r="D78" s="4" t="s">
        <x:v>460</x:v>
      </x:c>
      <x:c r="E78" s="4" t="s">
        <x:v>74</x:v>
      </x:c>
      <x:c r="F78" s="4" t="s">
        <x:v>21</x:v>
      </x:c>
      <x:c r="G78" s="4" t="s">
        <x:v>53</x:v>
      </x:c>
      <x:c r="H78" s="4" t="s">
        <x:v>461</x:v>
      </x:c>
      <x:c r="I78" s="4" t="s">
        <x:v>462</x:v>
      </x:c>
      <x:c r="J78" s="4"/>
      <x:c r="K78" s="4"/>
      <x:c r="L78" s="4" t="str">
        <x:v>Not Started</x:v>
      </x:c>
      <x:c r="M78" s="5">
        <x:f t="shared" si="2">IF(L78="Done",1,IF(L78="In Progress",0.5,IF(L78="Blocked",0.25,0)))</x:f>
        <x:v>0</x:v>
      </x:c>
    </x:row>
    <x:row r="79" ht="28.5">
      <x:c r="A79" s="4" t="s">
        <x:v>463</x:v>
      </x:c>
      <x:c r="B79" s="4" t="s">
        <x:v>40</x:v>
      </x:c>
      <x:c r="C79" s="4" t="s">
        <x:v>464</x:v>
      </x:c>
      <x:c r="D79" s="4" t="s">
        <x:v>465</x:v>
      </x:c>
      <x:c r="E79" s="4" t="s">
        <x:v>74</x:v>
      </x:c>
      <x:c r="F79" s="4" t="s">
        <x:v>19</x:v>
      </x:c>
      <x:c r="G79" s="4" t="s">
        <x:v>466</x:v>
      </x:c>
      <x:c r="H79" s="4" t="s">
        <x:v>467</x:v>
      </x:c>
      <x:c r="I79" s="4" t="s">
        <x:v>468</x:v>
      </x:c>
      <x:c r="J79" s="4"/>
      <x:c r="K79" s="4"/>
      <x:c r="L79" s="4" t="str">
        <x:v>Not Started</x:v>
      </x:c>
      <x:c r="M79" s="5">
        <x:f t="shared" si="2">IF(L79="Done",1,IF(L79="In Progress",0.5,IF(L79="Blocked",0.25,0)))</x:f>
        <x:v>0</x:v>
      </x:c>
    </x:row>
  </x:sheetData>
  <x:mergeCells>
    <x:mergeCell ref="A1:M1"/>
  </x:mergeCells>
  <x:conditionalFormatting sqref="F4:F79">
    <x:cfRule type="expression" dxfId="10" priority="4">
      <x:formula>F4="P0"</x:formula>
    </x:cfRule>
    <x:cfRule type="expression" dxfId="9" priority="5">
      <x:formula>F4="P1"</x:formula>
    </x:cfRule>
  </x:conditionalFormatting>
  <x:conditionalFormatting sqref="L4:L79">
    <x:cfRule type="expression" dxfId="8" priority="1">
      <x:formula>L4="Done"</x:formula>
    </x:cfRule>
    <x:cfRule type="expression" dxfId="7" priority="2">
      <x:formula>L4="In Progress"</x:formula>
    </x:cfRule>
    <x:cfRule type="expression" dxfId="6" priority="3">
      <x:formula>L4="Blocked"</x:formula>
    </x:cfRule>
  </x:conditionalFormatting>
  <x:conditionalFormatting sqref="M4:M79">
    <x:cfRule type="dataBar" priority="6">
      <x:dataBar>
        <x:cfvo type="min"/>
        <x:cfvo type="max"/>
        <x:color rgb="FF2B7A78"/>
      </x:dataBar>
    </x:cfRule>
    <x:cfRule type="dataBar" priority="7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{FE1454F9-B3F9-8F5A-EF39-0B2762DF56FA}</x14:id>
        </x:ext>
      </x:extLst>
    </x:cfRule>
  </x:conditionalFormatting>
  <x:dataValidations count="2">
    <x:dataValidation type="list" sqref="L4:L79">
      <x:formula1>"Not Started,In Progress,Blocked,Done"</x:formula1>
    </x:dataValidation>
    <x:dataValidation type="list" sqref="F4:F7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c1c1bfdba7417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FE1454F9-B3F9-8F5A-EF39-0B2762DF56FA}">
            <x14:dataBar>
              <x14:cfvo type="min"/>
              <x14:cfvo type="max"/>
              <x14:fillColor rgb="FF2B7A78"/>
              <x14:negativeFillColor auto="1"/>
              <x14:axisColor auto="1"/>
            </x14:dataBar>
          </x14:cfRule>
          <xm:sqref>M4:M79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4.25"/>
  <x:cols>
    <x:col min="1" max="1" width="12" customWidth="1"/>
    <x:col min="2" max="2" width="32" customWidth="1"/>
    <x:col min="3" max="3" width="42" customWidth="1"/>
    <x:col min="4" max="4" width="15" customWidth="1"/>
    <x:col min="5" max="5" width="10" customWidth="1"/>
    <x:col min="6" max="6" width="30" customWidth="1"/>
    <x:col min="7" max="7" width="20" customWidth="1"/>
    <x:col min="8" max="8" width="42" customWidth="1"/>
    <x:col min="9" max="9" width="15" customWidth="1"/>
    <x:col min="10" max="10" width="12" customWidth="1"/>
  </x:cols>
  <x:sheetData>
    <x:row r="1" ht="30" customHeight="1">
      <x:c r="A1" s="14" t="s">
        <x:v>469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3" ht="27.950000762939453" customHeight="1">
      <x:c r="A3" s="6" t="s">
        <x:v>470</x:v>
      </x:c>
      <x:c r="B3" s="6" t="s">
        <x:v>471</x:v>
      </x:c>
      <x:c r="C3" s="6" t="s">
        <x:v>472</x:v>
      </x:c>
      <x:c r="D3" s="6" t="s">
        <x:v>12</x:v>
      </x:c>
      <x:c r="E3" s="6" t="s">
        <x:v>15</x:v>
      </x:c>
      <x:c r="F3" s="6" t="s">
        <x:v>46</x:v>
      </x:c>
      <x:c r="G3" s="6" t="s">
        <x:v>45</x:v>
      </x:c>
      <x:c r="H3" s="6" t="s">
        <x:v>48</x:v>
      </x:c>
      <x:c r="I3" s="6" t="s">
        <x:v>51</x:v>
      </x:c>
      <x:c r="J3" s="6" t="s">
        <x:v>52</x:v>
      </x:c>
    </x:row>
    <x:row r="4" ht="28.5">
      <x:c r="A4" s="4" t="s">
        <x:v>473</x:v>
      </x:c>
      <x:c r="B4" s="4" t="s">
        <x:v>63</x:v>
      </x:c>
      <x:c r="C4" s="4" t="s">
        <x:v>474</x:v>
      </x:c>
      <x:c r="D4" s="4" t="s">
        <x:v>475</x:v>
      </x:c>
      <x:c r="E4" s="4" t="s">
        <x:v>19</x:v>
      </x:c>
      <x:c r="F4" s="4"/>
      <x:c r="G4" s="4" t="s">
        <x:v>62</x:v>
      </x:c>
      <x:c r="H4" s="4" t="s">
        <x:v>64</x:v>
      </x:c>
      <x:c r="I4" s="4" t="str">
        <x:v>Done</x:v>
      </x:c>
      <x:c r="J4" s="5">
        <x:f t="shared" ref="J4:J32" si="0">IF(I4="Done",1,IF(I4="In Progress",0.5,IF(I4="Blocked",0.25,0)))</x:f>
        <x:v>1</x:v>
      </x:c>
    </x:row>
    <x:row r="5">
      <x:c r="A5" s="4" t="s">
        <x:v>476</x:v>
      </x:c>
      <x:c r="B5" s="4" t="s">
        <x:v>477</x:v>
      </x:c>
      <x:c r="C5" s="4" t="s">
        <x:v>478</x:v>
      </x:c>
      <x:c r="D5" s="4" t="s">
        <x:v>479</x:v>
      </x:c>
      <x:c r="E5" s="4" t="s">
        <x:v>19</x:v>
      </x:c>
      <x:c r="F5" s="4" t="s">
        <x:v>473</x:v>
      </x:c>
      <x:c r="G5" s="4" t="s">
        <x:v>62</x:v>
      </x:c>
      <x:c r="H5" s="4" t="s">
        <x:v>480</x:v>
      </x:c>
      <x:c r="I5" s="4" t="str">
        <x:v>In Progress</x:v>
      </x:c>
      <x:c r="J5" s="5">
        <x:f t="shared" si="0">IF(I5="Done",1,IF(I5="In Progress",0.5,IF(I5="Blocked",0.25,0)))</x:f>
        <x:v>0.5</x:v>
      </x:c>
    </x:row>
    <x:row r="6">
      <x:c r="A6" s="4" t="s">
        <x:v>481</x:v>
      </x:c>
      <x:c r="B6" s="4" t="s">
        <x:v>482</x:v>
      </x:c>
      <x:c r="C6" s="4" t="s">
        <x:v>483</x:v>
      </x:c>
      <x:c r="D6" s="4" t="s">
        <x:v>479</x:v>
      </x:c>
      <x:c r="E6" s="4" t="s">
        <x:v>19</x:v>
      </x:c>
      <x:c r="F6" s="4" t="s">
        <x:v>476</x:v>
      </x:c>
      <x:c r="G6" s="4" t="s">
        <x:v>62</x:v>
      </x:c>
      <x:c r="H6" s="4" t="s">
        <x:v>484</x:v>
      </x:c>
      <x:c r="I6" s="4" t="str">
        <x:v>Done</x:v>
      </x:c>
      <x:c r="J6" s="5">
        <x:f t="shared" si="0">IF(I6="Done",1,IF(I6="In Progress",0.5,IF(I6="Blocked",0.25,0)))</x:f>
        <x:v>1</x:v>
      </x:c>
    </x:row>
    <x:row r="7">
      <x:c r="A7" s="4" t="s">
        <x:v>485</x:v>
      </x:c>
      <x:c r="B7" s="4" t="s">
        <x:v>486</x:v>
      </x:c>
      <x:c r="C7" s="4" t="s">
        <x:v>487</x:v>
      </x:c>
      <x:c r="D7" s="4" t="s">
        <x:v>479</x:v>
      </x:c>
      <x:c r="E7" s="4" t="s">
        <x:v>21</x:v>
      </x:c>
      <x:c r="F7" s="4" t="s">
        <x:v>488</x:v>
      </x:c>
      <x:c r="G7" s="4" t="s">
        <x:v>62</x:v>
      </x:c>
      <x:c r="H7" s="4" t="s">
        <x:v>489</x:v>
      </x:c>
      <x:c r="I7" s="4" t="str">
        <x:v>Done</x:v>
      </x:c>
      <x:c r="J7" s="5">
        <x:f t="shared" si="0">IF(I7="Done",1,IF(I7="In Progress",0.5,IF(I7="Blocked",0.25,0)))</x:f>
        <x:v>1</x:v>
      </x:c>
    </x:row>
    <x:row r="8">
      <x:c r="A8" s="4" t="s">
        <x:v>490</x:v>
      </x:c>
      <x:c r="B8" s="4" t="s">
        <x:v>491</x:v>
      </x:c>
      <x:c r="C8" s="4" t="s">
        <x:v>492</x:v>
      </x:c>
      <x:c r="D8" s="4" t="s">
        <x:v>493</x:v>
      </x:c>
      <x:c r="E8" s="4" t="s">
        <x:v>19</x:v>
      </x:c>
      <x:c r="F8" s="4" t="s">
        <x:v>494</x:v>
      </x:c>
      <x:c r="G8" s="4" t="s">
        <x:v>62</x:v>
      </x:c>
      <x:c r="H8" s="4" t="s">
        <x:v>495</x:v>
      </x:c>
      <x:c r="I8" s="4" t="inlineStr">
        <x:is>
          <x:t>Done</x:t>
        </x:is>
      </x:c>
      <x:c r="J8" s="5">
        <x:f t="shared" si="0">IF(I8="Done",1,IF(I8="In Progress",0.5,IF(I8="Blocked",0.25,0)))</x:f>
        <x:v>1</x:v>
      </x:c>
    </x:row>
    <x:row r="9">
      <x:c r="A9" s="4" t="s">
        <x:v>496</x:v>
      </x:c>
      <x:c r="B9" s="4" t="s">
        <x:v>497</x:v>
      </x:c>
      <x:c r="C9" s="4" t="s">
        <x:v>498</x:v>
      </x:c>
      <x:c r="D9" s="4" t="s">
        <x:v>499</x:v>
      </x:c>
      <x:c r="E9" s="4" t="s">
        <x:v>19</x:v>
      </x:c>
      <x:c r="F9" s="4" t="s">
        <x:v>490</x:v>
      </x:c>
      <x:c r="G9" s="4" t="s">
        <x:v>62</x:v>
      </x:c>
      <x:c r="H9" s="4" t="s">
        <x:v>500</x:v>
      </x:c>
      <x:c r="I9" s="4" t="str">
        <x:v>Done</x:v>
      </x:c>
      <x:c r="J9" s="5">
        <x:f t="shared" si="0">IF(I9="Done",1,IF(I9="In Progress",0.5,IF(I9="Blocked",0.25,0)))</x:f>
        <x:v>1</x:v>
      </x:c>
    </x:row>
    <x:row r="10">
      <x:c r="A10" s="4" t="s">
        <x:v>501</x:v>
      </x:c>
      <x:c r="B10" s="4" t="s">
        <x:v>179</x:v>
      </x:c>
      <x:c r="C10" s="4" t="s">
        <x:v>502</x:v>
      </x:c>
      <x:c r="D10" s="4" t="s">
        <x:v>499</x:v>
      </x:c>
      <x:c r="E10" s="4" t="s">
        <x:v>19</x:v>
      </x:c>
      <x:c r="F10" s="4" t="s">
        <x:v>490</x:v>
      </x:c>
      <x:c r="G10" s="4" t="s">
        <x:v>62</x:v>
      </x:c>
      <x:c r="H10" s="4" t="s">
        <x:v>503</x:v>
      </x:c>
      <x:c r="I10" s="4" t="str">
        <x:v>Done</x:v>
      </x:c>
      <x:c r="J10" s="5">
        <x:f t="shared" si="0">IF(I10="Done",1,IF(I10="In Progress",0.5,IF(I10="Blocked",0.25,0)))</x:f>
        <x:v>1</x:v>
      </x:c>
    </x:row>
    <x:row r="11">
      <x:c r="A11" s="4" t="s">
        <x:v>504</x:v>
      </x:c>
      <x:c r="B11" s="4" t="s">
        <x:v>505</x:v>
      </x:c>
      <x:c r="C11" s="4" t="s">
        <x:v>506</x:v>
      </x:c>
      <x:c r="D11" s="4" t="s">
        <x:v>499</x:v>
      </x:c>
      <x:c r="E11" s="4" t="s">
        <x:v>19</x:v>
      </x:c>
      <x:c r="F11" s="4" t="s">
        <x:v>507</x:v>
      </x:c>
      <x:c r="G11" s="4" t="s">
        <x:v>62</x:v>
      </x:c>
      <x:c r="H11" s="4" t="s">
        <x:v>508</x:v>
      </x:c>
      <x:c r="I11" s="4" t="str">
        <x:v>Done</x:v>
      </x:c>
      <x:c r="J11" s="5">
        <x:f t="shared" si="0">IF(I11="Done",1,IF(I11="In Progress",0.5,IF(I11="Blocked",0.25,0)))</x:f>
        <x:v>1</x:v>
      </x:c>
    </x:row>
    <x:row r="12">
      <x:c r="A12" s="4" t="s">
        <x:v>509</x:v>
      </x:c>
      <x:c r="B12" s="4" t="s">
        <x:v>510</x:v>
      </x:c>
      <x:c r="C12" s="4" t="s">
        <x:v>511</x:v>
      </x:c>
      <x:c r="D12" s="4" t="s">
        <x:v>512</x:v>
      </x:c>
      <x:c r="E12" s="4" t="s">
        <x:v>19</x:v>
      </x:c>
      <x:c r="F12" s="4" t="s">
        <x:v>476</x:v>
      </x:c>
      <x:c r="G12" s="4" t="s">
        <x:v>62</x:v>
      </x:c>
      <x:c r="H12" s="4" t="s">
        <x:v>513</x:v>
      </x:c>
      <x:c r="I12" s="4" t="str">
        <x:v>Done</x:v>
      </x:c>
      <x:c r="J12" s="5">
        <x:f t="shared" si="0">IF(I12="Done",1,IF(I12="In Progress",0.5,IF(I12="Blocked",0.25,0)))</x:f>
        <x:v>1</x:v>
      </x:c>
    </x:row>
    <x:row r="13">
      <x:c r="A13" s="4" t="s">
        <x:v>514</x:v>
      </x:c>
      <x:c r="B13" s="4" t="s">
        <x:v>515</x:v>
      </x:c>
      <x:c r="C13" s="4" t="s">
        <x:v>516</x:v>
      </x:c>
      <x:c r="D13" s="4" t="s">
        <x:v>512</x:v>
      </x:c>
      <x:c r="E13" s="4" t="s">
        <x:v>19</x:v>
      </x:c>
      <x:c r="F13" s="4" t="s">
        <x:v>509</x:v>
      </x:c>
      <x:c r="G13" s="4" t="s">
        <x:v>62</x:v>
      </x:c>
      <x:c r="H13" s="4" t="s">
        <x:v>517</x:v>
      </x:c>
      <x:c r="I13" s="4" t="inlineStr">
        <x:is>
          <x:t>Done</x:t>
        </x:is>
      </x:c>
      <x:c r="J13" s="5">
        <x:f t="shared" si="0">IF(I13="Done",1,IF(I13="In Progress",0.5,IF(I13="Blocked",0.25,0)))</x:f>
        <x:v>1</x:v>
      </x:c>
    </x:row>
    <x:row r="14">
      <x:c r="A14" s="4" t="s">
        <x:v>518</x:v>
      </x:c>
      <x:c r="B14" s="4" t="s">
        <x:v>519</x:v>
      </x:c>
      <x:c r="C14" s="4" t="s">
        <x:v>520</x:v>
      </x:c>
      <x:c r="D14" s="4" t="s">
        <x:v>512</x:v>
      </x:c>
      <x:c r="E14" s="4" t="s">
        <x:v>19</x:v>
      </x:c>
      <x:c r="F14" s="4" t="s">
        <x:v>509</x:v>
      </x:c>
      <x:c r="G14" s="4" t="s">
        <x:v>62</x:v>
      </x:c>
      <x:c r="H14" s="4" t="s">
        <x:v>521</x:v>
      </x:c>
      <x:c r="I14" s="4" t="inlineStr">
        <x:is>
          <x:t>Done</x:t>
        </x:is>
      </x:c>
      <x:c r="J14" s="5">
        <x:f t="shared" si="0">IF(I14="Done",1,IF(I14="In Progress",0.5,IF(I14="Blocked",0.25,0)))</x:f>
        <x:v>1</x:v>
      </x:c>
    </x:row>
    <x:row r="15">
      <x:c r="A15" s="4" t="s">
        <x:v>522</x:v>
      </x:c>
      <x:c r="B15" s="4" t="s">
        <x:v>523</x:v>
      </x:c>
      <x:c r="C15" s="4" t="s">
        <x:v>524</x:v>
      </x:c>
      <x:c r="D15" s="4" t="s">
        <x:v>525</x:v>
      </x:c>
      <x:c r="E15" s="4" t="s">
        <x:v>19</x:v>
      </x:c>
      <x:c r="F15" s="4" t="s">
        <x:v>526</x:v>
      </x:c>
      <x:c r="G15" s="4" t="s">
        <x:v>62</x:v>
      </x:c>
      <x:c r="H15" s="4" t="s">
        <x:v>527</x:v>
      </x:c>
      <x:c r="I15" s="4" t="inlineStr">
        <x:is>
          <x:t>Done</x:t>
        </x:is>
      </x:c>
      <x:c r="J15" s="5">
        <x:f t="shared" si="0">IF(I15="Done",1,IF(I15="In Progress",0.5,IF(I15="Blocked",0.25,0)))</x:f>
        <x:v>1</x:v>
      </x:c>
    </x:row>
    <x:row r="16">
      <x:c r="A16" s="4" t="s">
        <x:v>528</x:v>
      </x:c>
      <x:c r="B16" s="4" t="s">
        <x:v>529</x:v>
      </x:c>
      <x:c r="C16" s="4" t="s">
        <x:v>530</x:v>
      </x:c>
      <x:c r="D16" s="4" t="s">
        <x:v>525</x:v>
      </x:c>
      <x:c r="E16" s="4" t="s">
        <x:v>19</x:v>
      </x:c>
      <x:c r="F16" s="4" t="s">
        <x:v>522</x:v>
      </x:c>
      <x:c r="G16" s="4" t="s">
        <x:v>62</x:v>
      </x:c>
      <x:c r="H16" s="4" t="s">
        <x:v>531</x:v>
      </x:c>
      <x:c r="I16" s="4" t="inlineStr">
        <x:is>
          <x:t>Done</x:t>
        </x:is>
      </x:c>
      <x:c r="J16" s="5">
        <x:f t="shared" si="0">IF(I16="Done",1,IF(I16="In Progress",0.5,IF(I16="Blocked",0.25,0)))</x:f>
        <x:v>1</x:v>
      </x:c>
    </x:row>
    <x:row r="17">
      <x:c r="A17" s="4" t="s">
        <x:v>532</x:v>
      </x:c>
      <x:c r="B17" s="4" t="s">
        <x:v>533</x:v>
      </x:c>
      <x:c r="C17" s="4" t="s">
        <x:v>534</x:v>
      </x:c>
      <x:c r="D17" s="4" t="s">
        <x:v>525</x:v>
      </x:c>
      <x:c r="E17" s="4" t="s">
        <x:v>19</x:v>
      </x:c>
      <x:c r="F17" s="4" t="s">
        <x:v>522</x:v>
      </x:c>
      <x:c r="G17" s="4" t="s">
        <x:v>62</x:v>
      </x:c>
      <x:c r="H17" s="4" t="s">
        <x:v>535</x:v>
      </x:c>
      <x:c r="I17" s="4" t="inlineStr">
        <x:is>
          <x:t>Done</x:t>
        </x:is>
      </x:c>
      <x:c r="J17" s="5">
        <x:f t="shared" si="0">IF(I17="Done",1,IF(I17="In Progress",0.5,IF(I17="Blocked",0.25,0)))</x:f>
        <x:v>1</x:v>
      </x:c>
    </x:row>
    <x:row r="18">
      <x:c r="A18" s="4" t="s">
        <x:v>536</x:v>
      </x:c>
      <x:c r="B18" s="4" t="s">
        <x:v>537</x:v>
      </x:c>
      <x:c r="C18" s="4" t="s">
        <x:v>538</x:v>
      </x:c>
      <x:c r="D18" s="4" t="s">
        <x:v>539</x:v>
      </x:c>
      <x:c r="E18" s="4" t="s">
        <x:v>19</x:v>
      </x:c>
      <x:c r="F18" s="4" t="s">
        <x:v>476</x:v>
      </x:c>
      <x:c r="G18" s="4" t="s">
        <x:v>62</x:v>
      </x:c>
      <x:c r="H18" s="4" t="s">
        <x:v>540</x:v>
      </x:c>
      <x:c r="I18" s="4" t="str">
        <x:v>Done</x:v>
      </x:c>
      <x:c r="J18" s="5">
        <x:f t="shared" si="0">IF(I18="Done",1,IF(I18="In Progress",0.5,IF(I18="Blocked",0.25,0)))</x:f>
        <x:v>1</x:v>
      </x:c>
    </x:row>
    <x:row r="19">
      <x:c r="A19" s="4" t="s">
        <x:v>541</x:v>
      </x:c>
      <x:c r="B19" s="4" t="s">
        <x:v>542</x:v>
      </x:c>
      <x:c r="C19" s="4" t="s">
        <x:v>543</x:v>
      </x:c>
      <x:c r="D19" s="4" t="s">
        <x:v>539</x:v>
      </x:c>
      <x:c r="E19" s="4" t="s">
        <x:v>19</x:v>
      </x:c>
      <x:c r="F19" s="4" t="s">
        <x:v>544</x:v>
      </x:c>
      <x:c r="G19" s="4" t="s">
        <x:v>62</x:v>
      </x:c>
      <x:c r="H19" s="4" t="s">
        <x:v>276</x:v>
      </x:c>
      <x:c r="I19" s="4" t="str">
        <x:v>Done</x:v>
      </x:c>
      <x:c r="J19" s="5">
        <x:f t="shared" si="0">IF(I19="Done",1,IF(I19="In Progress",0.5,IF(I19="Blocked",0.25,0)))</x:f>
        <x:v>1</x:v>
      </x:c>
    </x:row>
    <x:row r="20">
      <x:c r="A20" s="4" t="s">
        <x:v>545</x:v>
      </x:c>
      <x:c r="B20" s="4" t="s">
        <x:v>546</x:v>
      </x:c>
      <x:c r="C20" s="4" t="s">
        <x:v>547</x:v>
      </x:c>
      <x:c r="D20" s="4" t="s">
        <x:v>539</x:v>
      </x:c>
      <x:c r="E20" s="4" t="s">
        <x:v>19</x:v>
      </x:c>
      <x:c r="F20" s="4" t="s">
        <x:v>548</x:v>
      </x:c>
      <x:c r="G20" s="4" t="s">
        <x:v>62</x:v>
      </x:c>
      <x:c r="H20" s="4" t="s">
        <x:v>549</x:v>
      </x:c>
      <x:c r="I20" s="4" t="str">
        <x:v>Done</x:v>
      </x:c>
      <x:c r="J20" s="5">
        <x:f t="shared" si="0">IF(I20="Done",1,IF(I20="In Progress",0.5,IF(I20="Blocked",0.25,0)))</x:f>
        <x:v>1</x:v>
      </x:c>
    </x:row>
    <x:row r="21" ht="28.5">
      <x:c r="A21" s="4" t="s">
        <x:v>550</x:v>
      </x:c>
      <x:c r="B21" s="4" t="s">
        <x:v>284</x:v>
      </x:c>
      <x:c r="C21" s="4" t="s">
        <x:v>551</x:v>
      </x:c>
      <x:c r="D21" s="4" t="s">
        <x:v>539</x:v>
      </x:c>
      <x:c r="E21" s="4" t="s">
        <x:v>19</x:v>
      </x:c>
      <x:c r="F21" s="4" t="s">
        <x:v>552</x:v>
      </x:c>
      <x:c r="G21" s="4" t="s">
        <x:v>62</x:v>
      </x:c>
      <x:c r="H21" s="4" t="s">
        <x:v>553</x:v>
      </x:c>
      <x:c r="I21" s="4" t="str">
        <x:v>Done</x:v>
      </x:c>
      <x:c r="J21" s="5">
        <x:f t="shared" si="0">IF(I21="Done",1,IF(I21="In Progress",0.5,IF(I21="Blocked",0.25,0)))</x:f>
        <x:v>1</x:v>
      </x:c>
    </x:row>
    <x:row r="22">
      <x:c r="A22" s="4" t="s">
        <x:v>554</x:v>
      </x:c>
      <x:c r="B22" s="4" t="s">
        <x:v>302</x:v>
      </x:c>
      <x:c r="C22" s="4" t="s">
        <x:v>555</x:v>
      </x:c>
      <x:c r="D22" s="4" t="s">
        <x:v>539</x:v>
      </x:c>
      <x:c r="E22" s="4" t="s">
        <x:v>19</x:v>
      </x:c>
      <x:c r="F22" s="4" t="s">
        <x:v>556</x:v>
      </x:c>
      <x:c r="G22" s="4" t="s">
        <x:v>62</x:v>
      </x:c>
      <x:c r="H22" s="4" t="s">
        <x:v>557</x:v>
      </x:c>
      <x:c r="I22" s="4" t="str">
        <x:v>Done</x:v>
      </x:c>
      <x:c r="J22" s="5">
        <x:f t="shared" si="0">IF(I22="Done",1,IF(I22="In Progress",0.5,IF(I22="Blocked",0.25,0)))</x:f>
        <x:v>1</x:v>
      </x:c>
    </x:row>
    <x:row r="23">
      <x:c r="A23" s="4" t="s">
        <x:v>558</x:v>
      </x:c>
      <x:c r="B23" s="4" t="s">
        <x:v>312</x:v>
      </x:c>
      <x:c r="C23" s="4" t="s">
        <x:v>559</x:v>
      </x:c>
      <x:c r="D23" s="4" t="s">
        <x:v>539</x:v>
      </x:c>
      <x:c r="E23" s="4" t="s">
        <x:v>21</x:v>
      </x:c>
      <x:c r="F23" s="4" t="s">
        <x:v>560</x:v>
      </x:c>
      <x:c r="G23" s="4" t="s">
        <x:v>62</x:v>
      </x:c>
      <x:c r="H23" s="4" t="s">
        <x:v>561</x:v>
      </x:c>
      <x:c r="I23" s="4" t="str">
        <x:v>Done</x:v>
      </x:c>
      <x:c r="J23" s="5">
        <x:f t="shared" si="0">IF(I23="Done",1,IF(I23="In Progress",0.5,IF(I23="Blocked",0.25,0)))</x:f>
        <x:v>1</x:v>
      </x:c>
    </x:row>
    <x:row r="24">
      <x:c r="A24" s="4" t="s">
        <x:v>562</x:v>
      </x:c>
      <x:c r="B24" s="4" t="s">
        <x:v>563</x:v>
      </x:c>
      <x:c r="C24" s="4" t="s">
        <x:v>564</x:v>
      </x:c>
      <x:c r="D24" s="4" t="s">
        <x:v>539</x:v>
      </x:c>
      <x:c r="E24" s="4" t="s">
        <x:v>19</x:v>
      </x:c>
      <x:c r="F24" s="4" t="s">
        <x:v>565</x:v>
      </x:c>
      <x:c r="G24" s="4" t="s">
        <x:v>62</x:v>
      </x:c>
      <x:c r="H24" s="4" t="s">
        <x:v>566</x:v>
      </x:c>
      <x:c r="I24" s="4" t="str">
        <x:v>Done</x:v>
      </x:c>
      <x:c r="J24" s="5">
        <x:f t="shared" si="0">IF(I24="Done",1,IF(I24="In Progress",0.5,IF(I24="Blocked",0.25,0)))</x:f>
        <x:v>1</x:v>
      </x:c>
    </x:row>
    <x:row r="25">
      <x:c r="A25" s="4" t="s">
        <x:v>567</x:v>
      </x:c>
      <x:c r="B25" s="4" t="s">
        <x:v>568</x:v>
      </x:c>
      <x:c r="C25" s="4" t="s">
        <x:v>569</x:v>
      </x:c>
      <x:c r="D25" s="4" t="s">
        <x:v>570</x:v>
      </x:c>
      <x:c r="E25" s="4" t="s">
        <x:v>19</x:v>
      </x:c>
      <x:c r="F25" s="4" t="s">
        <x:v>571</x:v>
      </x:c>
      <x:c r="G25" s="4" t="s">
        <x:v>330</x:v>
      </x:c>
      <x:c r="H25" s="4" t="s">
        <x:v>572</x:v>
      </x:c>
      <x:c r="I25" s="4" t="str">
        <x:v>Done</x:v>
      </x:c>
      <x:c r="J25" s="5">
        <x:f t="shared" si="0">IF(I25="Done",1,IF(I25="In Progress",0.5,IF(I25="Blocked",0.25,0)))</x:f>
        <x:v>1</x:v>
      </x:c>
    </x:row>
    <x:row r="26">
      <x:c r="A26" s="4" t="s">
        <x:v>573</x:v>
      </x:c>
      <x:c r="B26" s="4" t="s">
        <x:v>574</x:v>
      </x:c>
      <x:c r="C26" s="4" t="s">
        <x:v>575</x:v>
      </x:c>
      <x:c r="D26" s="4" t="s">
        <x:v>576</x:v>
      </x:c>
      <x:c r="E26" s="4" t="s">
        <x:v>19</x:v>
      </x:c>
      <x:c r="F26" s="4" t="s">
        <x:v>577</x:v>
      </x:c>
      <x:c r="G26" s="4" t="s">
        <x:v>62</x:v>
      </x:c>
      <x:c r="H26" s="4" t="s">
        <x:v>578</x:v>
      </x:c>
      <x:c r="I26" s="4" t="inlineStr">
        <x:is>
          <x:t>Done</x:t>
        </x:is>
      </x:c>
      <x:c r="J26" s="5">
        <x:f t="shared" si="0">IF(I26="Done",1,IF(I26="In Progress",0.5,IF(I26="Blocked",0.25,0)))</x:f>
        <x:v>1</x:v>
      </x:c>
    </x:row>
    <x:row r="27">
      <x:c r="A27" s="4" t="s">
        <x:v>579</x:v>
      </x:c>
      <x:c r="B27" s="4" t="s">
        <x:v>580</x:v>
      </x:c>
      <x:c r="C27" s="4" t="s">
        <x:v>581</x:v>
      </x:c>
      <x:c r="D27" s="4" t="s">
        <x:v>576</x:v>
      </x:c>
      <x:c r="E27" s="4" t="s">
        <x:v>19</x:v>
      </x:c>
      <x:c r="F27" s="4" t="s">
        <x:v>582</x:v>
      </x:c>
      <x:c r="G27" s="4" t="s">
        <x:v>62</x:v>
      </x:c>
      <x:c r="H27" s="4" t="s">
        <x:v>583</x:v>
      </x:c>
      <x:c r="I27" s="4" t="inlineStr">
        <x:is>
          <x:t>Done</x:t>
        </x:is>
      </x:c>
      <x:c r="J27" s="5">
        <x:f t="shared" si="0">IF(I27="Done",1,IF(I27="In Progress",0.5,IF(I27="Blocked",0.25,0)))</x:f>
        <x:v>1</x:v>
      </x:c>
    </x:row>
    <x:row r="28">
      <x:c r="A28" s="4" t="s">
        <x:v>584</x:v>
      </x:c>
      <x:c r="B28" s="4" t="s">
        <x:v>585</x:v>
      </x:c>
      <x:c r="C28" s="4" t="s">
        <x:v>586</x:v>
      </x:c>
      <x:c r="D28" s="4" t="s">
        <x:v>576</x:v>
      </x:c>
      <x:c r="E28" s="4" t="s">
        <x:v>21</x:v>
      </x:c>
      <x:c r="F28" s="4" t="s">
        <x:v>562</x:v>
      </x:c>
      <x:c r="G28" s="4" t="s">
        <x:v>62</x:v>
      </x:c>
      <x:c r="H28" s="4" t="s">
        <x:v>587</x:v>
      </x:c>
      <x:c r="I28" s="4" t="inlineStr">
        <x:is>
          <x:t>Done</x:t>
        </x:is>
      </x:c>
      <x:c r="J28" s="5">
        <x:f t="shared" si="0">IF(I28="Done",1,IF(I28="In Progress",0.5,IF(I28="Blocked",0.25,0)))</x:f>
        <x:v>1</x:v>
      </x:c>
    </x:row>
    <x:row r="29" ht="28.5">
      <x:c r="A29" s="4" t="s">
        <x:v>588</x:v>
      </x:c>
      <x:c r="B29" s="4" t="s">
        <x:v>390</x:v>
      </x:c>
      <x:c r="C29" s="4" t="s">
        <x:v>589</x:v>
      </x:c>
      <x:c r="D29" s="4" t="s">
        <x:v>576</x:v>
      </x:c>
      <x:c r="E29" s="4" t="s">
        <x:v>19</x:v>
      </x:c>
      <x:c r="F29" s="4" t="s">
        <x:v>590</x:v>
      </x:c>
      <x:c r="G29" s="4" t="s">
        <x:v>392</x:v>
      </x:c>
      <x:c r="H29" s="4" t="s">
        <x:v>591</x:v>
      </x:c>
      <x:c r="I29" s="4" t="inlineStr">
        <x:is>
          <x:t>Done</x:t>
        </x:is>
      </x:c>
      <x:c r="J29" s="5">
        <x:f t="shared" si="0">IF(I29="Done",1,IF(I29="In Progress",0.5,IF(I29="Blocked",0.25,0)))</x:f>
        <x:v>1</x:v>
      </x:c>
    </x:row>
    <x:row r="30">
      <x:c r="A30" s="4" t="s">
        <x:v>592</x:v>
      </x:c>
      <x:c r="B30" s="4" t="s">
        <x:v>593</x:v>
      </x:c>
      <x:c r="C30" s="4" t="s">
        <x:v>594</x:v>
      </x:c>
      <x:c r="D30" s="4" t="s">
        <x:v>595</x:v>
      </x:c>
      <x:c r="E30" s="4" t="s">
        <x:v>19</x:v>
      </x:c>
      <x:c r="F30" s="4" t="s">
        <x:v>588</x:v>
      </x:c>
      <x:c r="G30" s="4" t="s">
        <x:v>56</x:v>
      </x:c>
      <x:c r="H30" s="4" t="s">
        <x:v>596</x:v>
      </x:c>
      <x:c r="I30" s="4" t="str">
        <x:v>Not Started</x:v>
      </x:c>
      <x:c r="J30" s="5">
        <x:f t="shared" si="0">IF(I30="Done",1,IF(I30="In Progress",0.5,IF(I30="Blocked",0.25,0)))</x:f>
        <x:v>0</x:v>
      </x:c>
    </x:row>
    <x:row r="31">
      <x:c r="A31" s="4" t="s">
        <x:v>597</x:v>
      </x:c>
      <x:c r="B31" s="4" t="s">
        <x:v>598</x:v>
      </x:c>
      <x:c r="C31" s="4" t="s">
        <x:v>599</x:v>
      </x:c>
      <x:c r="D31" s="4" t="s">
        <x:v>600</x:v>
      </x:c>
      <x:c r="E31" s="4" t="s">
        <x:v>19</x:v>
      </x:c>
      <x:c r="F31" s="4" t="s">
        <x:v>601</x:v>
      </x:c>
      <x:c r="G31" s="4" t="s">
        <x:v>224</x:v>
      </x:c>
      <x:c r="H31" s="4" t="s">
        <x:v>602</x:v>
      </x:c>
      <x:c r="I31" s="4" t="inlineStr">
        <x:is>
          <x:t>In Progress</x:t>
        </x:is>
      </x:c>
      <x:c r="J31" s="5">
        <x:f t="shared" si="0">IF(I31="Done",1,IF(I31="In Progress",0.5,IF(I31="Blocked",0.25,0)))</x:f>
        <x:v>0.5</x:v>
      </x:c>
    </x:row>
    <x:row r="32">
      <x:c r="A32" s="4" t="s">
        <x:v>603</x:v>
      </x:c>
      <x:c r="B32" s="4" t="s">
        <x:v>464</x:v>
      </x:c>
      <x:c r="C32" s="4" t="s">
        <x:v>604</x:v>
      </x:c>
      <x:c r="D32" s="4" t="s">
        <x:v>605</x:v>
      </x:c>
      <x:c r="E32" s="4" t="s">
        <x:v>19</x:v>
      </x:c>
      <x:c r="F32" s="4" t="s">
        <x:v>597</x:v>
      </x:c>
      <x:c r="G32" s="4" t="s">
        <x:v>74</x:v>
      </x:c>
      <x:c r="H32" s="4" t="s">
        <x:v>606</x:v>
      </x:c>
      <x:c r="I32" s="4" t="str">
        <x:v>Not Started</x:v>
      </x:c>
      <x:c r="J32" s="5">
        <x:f t="shared" si="0">IF(I32="Done",1,IF(I32="In Progress",0.5,IF(I32="Blocked",0.25,0)))</x:f>
        <x:v>0</x:v>
      </x:c>
    </x:row>
  </x:sheetData>
  <x:mergeCells>
    <x:mergeCell ref="A1:J1"/>
  </x:mergeCells>
  <x:conditionalFormatting sqref="I4:I32">
    <x:cfRule type="expression" dxfId="5" priority="1">
      <x:formula>I4="Done"</x:formula>
    </x:cfRule>
    <x:cfRule type="expression" dxfId="4" priority="2">
      <x:formula>I4="In Progress"</x:formula>
    </x:cfRule>
    <x:cfRule type="expression" dxfId="3" priority="3">
      <x:formula>I4="Blocked"</x:formula>
    </x:cfRule>
  </x:conditionalFormatting>
  <x:conditionalFormatting sqref="J4:J32">
    <x:cfRule type="dataBar" priority="4">
      <x:dataBar>
        <x:cfvo type="min"/>
        <x:cfvo type="max"/>
        <x:color rgb="FF245B8A"/>
      </x:dataBar>
    </x:cfRule>
    <x:cfRule type="dataBar" priority="5">
      <x:dataBar>
        <x:cfvo type="min"/>
        <x:cfvo type="max"/>
        <x:color rgb="FF245B8A"/>
      </x:dataBar>
      <x:extLst>
        <x:ext xmlns:x14="http://schemas.microsoft.com/office/spreadsheetml/2009/9/main" uri="{B025F937-C7B1-47D3-B67F-A62EFF666E3E}">
          <x14:id>{DD10834D-725A-72C3-FE05-4238684D9FA3}</x14:id>
        </x:ext>
      </x:extLst>
    </x:cfRule>
  </x:conditionalFormatting>
  <x:dataValidations count="2">
    <x:dataValidation type="list" sqref="I4:I32">
      <x:formula1>"Not Started,In Progress,Blocked,Done"</x:formula1>
    </x:dataValidation>
    <x:dataValidation type="list" sqref="E4:E3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f23f08d2ec40d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DD10834D-725A-72C3-FE05-4238684D9FA3}">
            <x14:dataBar>
              <x14:cfvo type="min"/>
              <x14:cfvo type="max"/>
              <x14:fillColor rgb="FF245B8A"/>
              <x14:negativeFillColor auto="1"/>
              <x14:axisColor auto="1"/>
            </x14:dataBar>
          </x14:cfRule>
          <xm:sqref>J4:J32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4.25"/>
  <x:cols>
    <x:col min="1" max="1" width="8" customWidth="1"/>
    <x:col min="2" max="2" width="28" customWidth="1"/>
    <x:col min="3" max="3" width="42" customWidth="1"/>
    <x:col min="4" max="4" width="18" customWidth="1"/>
    <x:col min="5" max="5" width="42" customWidth="1"/>
    <x:col min="6" max="6" width="15" customWidth="1"/>
    <x:col min="7" max="7" width="30" customWidth="1"/>
  </x:cols>
  <x:sheetData>
    <x:row r="1" ht="30" customHeight="1">
      <x:c r="A1" s="14" t="s">
        <x:v>607</x:v>
      </x:c>
      <x:c r="B1" s="15"/>
      <x:c r="C1" s="15"/>
      <x:c r="D1" s="15"/>
      <x:c r="E1" s="15"/>
      <x:c r="F1" s="15"/>
      <x:c r="G1" s="15"/>
    </x:row>
    <x:row r="3" ht="27.950000762939453" customHeight="1">
      <x:c r="A3" s="3" t="s">
        <x:v>608</x:v>
      </x:c>
      <x:c r="B3" s="3" t="s">
        <x:v>609</x:v>
      </x:c>
      <x:c r="C3" s="3" t="s">
        <x:v>610</x:v>
      </x:c>
      <x:c r="D3" s="3" t="s">
        <x:v>611</x:v>
      </x:c>
      <x:c r="E3" s="3" t="s">
        <x:v>612</x:v>
      </x:c>
      <x:c r="F3" s="3" t="s">
        <x:v>51</x:v>
      </x:c>
      <x:c r="G3" s="3" t="s">
        <x:v>613</x:v>
      </x:c>
    </x:row>
    <x:row r="4">
      <x:c r="A4" s="4" t="s">
        <x:v>614</x:v>
      </x:c>
      <x:c r="B4" s="4" t="s">
        <x:v>615</x:v>
      </x:c>
      <x:c r="C4" s="4" t="s">
        <x:v>616</x:v>
      </x:c>
      <x:c r="D4" s="4" t="s">
        <x:v>617</x:v>
      </x:c>
      <x:c r="E4" s="4" t="s">
        <x:v>618</x:v>
      </x:c>
      <x:c r="F4" s="4" t="str">
        <x:v>Done</x:v>
      </x:c>
      <x:c r="G4" s="4"/>
    </x:row>
    <x:row r="5" ht="28.5">
      <x:c r="A5" s="4" t="s">
        <x:v>619</x:v>
      </x:c>
      <x:c r="B5" s="4" t="s">
        <x:v>620</x:v>
      </x:c>
      <x:c r="C5" s="4" t="s">
        <x:v>621</x:v>
      </x:c>
      <x:c r="D5" s="4" t="s">
        <x:v>622</x:v>
      </x:c>
      <x:c r="E5" s="4" t="s">
        <x:v>623</x:v>
      </x:c>
      <x:c r="F5" s="4" t="str">
        <x:v>Done</x:v>
      </x:c>
      <x:c r="G5" s="4"/>
    </x:row>
    <x:row r="6">
      <x:c r="A6" s="4" t="s">
        <x:v>624</x:v>
      </x:c>
      <x:c r="B6" s="4" t="s">
        <x:v>625</x:v>
      </x:c>
      <x:c r="C6" s="4" t="s">
        <x:v>626</x:v>
      </x:c>
      <x:c r="D6" s="4" t="s">
        <x:v>627</x:v>
      </x:c>
      <x:c r="E6" s="4" t="s">
        <x:v>628</x:v>
      </x:c>
      <x:c r="F6" s="4" t="inlineStr">
        <x:is>
          <x:t>Done</x:t>
        </x:is>
      </x:c>
      <x:c r="G6" s="4"/>
    </x:row>
    <x:row r="7">
      <x:c r="A7" s="4" t="s">
        <x:v>629</x:v>
      </x:c>
      <x:c r="B7" s="4" t="s">
        <x:v>630</x:v>
      </x:c>
      <x:c r="C7" s="4" t="s">
        <x:v>631</x:v>
      </x:c>
      <x:c r="D7" s="4" t="s">
        <x:v>632</x:v>
      </x:c>
      <x:c r="E7" s="4" t="s">
        <x:v>633</x:v>
      </x:c>
      <x:c r="F7" s="4" t="inlineStr">
        <x:is>
          <x:t>Done</x:t>
        </x:is>
      </x:c>
      <x:c r="G7" s="4"/>
    </x:row>
    <x:row r="8" ht="28.5">
      <x:c r="A8" s="4" t="s">
        <x:v>634</x:v>
      </x:c>
      <x:c r="B8" s="4" t="s">
        <x:v>635</x:v>
      </x:c>
      <x:c r="C8" s="4" t="s">
        <x:v>636</x:v>
      </x:c>
      <x:c r="D8" s="4" t="s">
        <x:v>637</x:v>
      </x:c>
      <x:c r="E8" s="4" t="s">
        <x:v>638</x:v>
      </x:c>
      <x:c r="F8" s="4" t="str">
        <x:v>Done</x:v>
      </x:c>
      <x:c r="G8" s="4" t="str">
        <x:v>ISSUE-022完了。Mission 01をブラウザで全5問完了し、Hint表示・Mission Complete・学習解説を確認。attacker→target-m01でping / nmap / nmap -sV / curlを手動実測し教材内容と一致。</x:v>
      </x:c>
    </x:row>
    <x:row r="9">
      <x:c r="A9" s="4" t="s">
        <x:v>639</x:v>
      </x:c>
      <x:c r="B9" s="4" t="s">
        <x:v>640</x:v>
      </x:c>
      <x:c r="C9" s="4" t="s">
        <x:v>641</x:v>
      </x:c>
      <x:c r="D9" s="4" t="s">
        <x:v>576</x:v>
      </x:c>
      <x:c r="E9" s="4" t="s">
        <x:v>642</x:v>
      </x:c>
      <x:c r="F9" s="4" t="inlineStr">
        <x:is>
          <x:t>Done</x:t>
        </x:is>
      </x:c>
      <x:c r="G9" s="4" t="inlineStr">
        <x:is>
          <x:t>Phase 9 PASS。次: ISSUE-027 Security Assessment。</x:t>
        </x:is>
      </x:c>
    </x:row>
    <x:row r="10">
      <x:c r="A10" s="4" t="s">
        <x:v>643</x:v>
      </x:c>
      <x:c r="B10" s="4" t="s">
        <x:v>644</x:v>
      </x:c>
      <x:c r="C10" s="4" t="s">
        <x:v>645</x:v>
      </x:c>
      <x:c r="D10" s="4" t="s">
        <x:v>595</x:v>
      </x:c>
      <x:c r="E10" s="4" t="s">
        <x:v>646</x:v>
      </x:c>
      <x:c r="F10" s="4" t="str">
        <x:v>Not Started</x:v>
      </x:c>
      <x:c r="G10" s="4"/>
    </x:row>
    <x:row r="11">
      <x:c r="A11" s="4" t="s">
        <x:v>647</x:v>
      </x:c>
      <x:c r="B11" s="4" t="s">
        <x:v>648</x:v>
      </x:c>
      <x:c r="C11" s="4" t="s">
        <x:v>649</x:v>
      </x:c>
      <x:c r="D11" s="4" t="s">
        <x:v>650</x:v>
      </x:c>
      <x:c r="E11" s="4" t="s">
        <x:v>651</x:v>
      </x:c>
      <x:c r="F11" s="4" t="str">
        <x:v>Not Started</x:v>
      </x:c>
      <x:c r="G11" s="4"/>
    </x:row>
  </x:sheetData>
  <x:mergeCells>
    <x:mergeCell ref="A1:G1"/>
  </x:mergeCells>
  <x:conditionalFormatting sqref="F4:F11">
    <x:cfRule type="expression" dxfId="2" priority="1">
      <x:formula>F4="Done"</x:formula>
    </x:cfRule>
    <x:cfRule type="expression" dxfId="1" priority="2">
      <x:formula>F4="In Progress"</x:formula>
    </x:cfRule>
    <x:cfRule type="expression" dxfId="0" priority="3">
      <x:formula>F4="Blocked"</x:formula>
    </x:cfRule>
  </x:conditionalFormatting>
  <x:dataValidations count="1">
    <x:dataValidation type="list" sqref="F4:F11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07f6ac8ead4941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3" width="24" customWidth="1"/>
    <x:col min="5" max="5" width="50" customWidth="1"/>
  </x:cols>
  <x:sheetData>
    <x:row r="1" ht="29.25">
      <x:c r="A1" s="1" t="s">
        <x:v>51</x:v>
      </x:c>
      <x:c r="B1" s="1" t="s">
        <x:v>15</x:v>
      </x:c>
      <x:c r="C1" s="1" t="s">
        <x:v>45</x:v>
      </x:c>
      <x:c r="E1" s="2" t="s">
        <x:v>652</x:v>
      </x:c>
    </x:row>
    <x:row r="2">
      <x:c r="A2" t="s">
        <x:v>653</x:v>
      </x:c>
      <x:c r="B2" t="s">
        <x:v>19</x:v>
      </x:c>
      <x:c r="C2" t="s">
        <x:v>56</x:v>
      </x:c>
    </x:row>
    <x:row r="3">
      <x:c r="A3" t="s">
        <x:v>6</x:v>
      </x:c>
      <x:c r="B3" t="s">
        <x:v>21</x:v>
      </x:c>
      <x:c r="C3" t="s">
        <x:v>62</x:v>
      </x:c>
    </x:row>
    <x:row r="4">
      <x:c r="A4" t="s">
        <x:v>8</x:v>
      </x:c>
      <x:c r="B4" t="s">
        <x:v>23</x:v>
      </x:c>
      <x:c r="C4" t="s">
        <x:v>654</x:v>
      </x:c>
    </x:row>
    <x:row r="5">
      <x:c r="A5" t="s">
        <x:v>4</x:v>
      </x:c>
      <x:c r="C5" t="s">
        <x:v>80</x:v>
      </x:c>
    </x:row>
    <x:row r="6">
      <x:c r="C6" t="s">
        <x:v>68</x:v>
      </x:c>
    </x:row>
    <x:row r="7">
      <x:c r="C7" t="s">
        <x:v>74</x:v>
      </x:c>
    </x:row>
    <x:row r="8">
      <x:c r="C8" t="s">
        <x:v>224</x:v>
      </x:c>
    </x:row>
    <x:row r="9">
      <x:c r="C9" t="s">
        <x:v>392</x:v>
      </x:c>
    </x:row>
    <x:row r="10">
      <x:c r="C10" t="s">
        <x:v>330</x:v>
      </x:c>
    </x:row>
    <x:row r="11">
      <x:c r="C11" t="s">
        <x:v>655</x:v>
      </x:c>
    </x:row>
  </x:sheetData>
  <x:pageMargins left="0.7" right="0.7" top="0.75" bottom="0.75" header="0.3" footer="0.3"/>
</x:worksheet>
</file>